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fileSharing readOnlyRecommended="1"/>
  <workbookPr filterPrivacy="1" defaultThemeVersion="166925"/>
  <xr:revisionPtr revIDLastSave="0" documentId="13_ncr:1_{CE32AE8F-A5EB-495F-9D24-08D2D4DBA8C9}" xr6:coauthVersionLast="47" xr6:coauthVersionMax="47" xr10:uidLastSave="{00000000-0000-0000-0000-000000000000}"/>
  <bookViews>
    <workbookView xWindow="-108" yWindow="-108" windowWidth="23256" windowHeight="12456" firstSheet="5" activeTab="9" xr2:uid="{1C5B2CD3-731F-0849-BC00-B1D00149B012}"/>
  </bookViews>
  <sheets>
    <sheet name="Original Sheet" sheetId="11" r:id="rId1"/>
    <sheet name="DLC Master Log" sheetId="1" r:id="rId2"/>
    <sheet name="Fan Requests" sheetId="6" r:id="rId3"/>
    <sheet name="Feature &amp; Cost Comparison" sheetId="8" r:id="rId4"/>
    <sheet name="Content Strategy Analysis" sheetId="10" r:id="rId5"/>
    <sheet name="Retail Value Summary" sheetId="12" r:id="rId6"/>
    <sheet name="Pivot Tables Pack Type Analysis" sheetId="14" r:id="rId7"/>
    <sheet name="Cost Summary" sheetId="15" r:id="rId8"/>
    <sheet name="Feature Data" sheetId="16" r:id="rId9"/>
    <sheet name="Definitions" sheetId="9" r:id="rId10"/>
  </sheets>
  <definedNames>
    <definedName name="_xlnm._FilterDatabase" localSheetId="1" hidden="1">'DLC Master Log'!$D$1:$D$104</definedName>
    <definedName name="Slicer_Content_Category">#N/A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2" l="1"/>
  <c r="C5" i="12"/>
  <c r="C4" i="12"/>
  <c r="C3" i="12"/>
  <c r="C2" i="12"/>
  <c r="B5" i="12"/>
  <c r="B3" i="12"/>
  <c r="B2" i="12"/>
  <c r="E103" i="11"/>
  <c r="B102"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F3" i="6"/>
  <c r="F4" i="6"/>
  <c r="F5" i="6"/>
  <c r="F6" i="6"/>
  <c r="F7" i="6"/>
  <c r="F8" i="6"/>
  <c r="F9" i="6"/>
  <c r="F10" i="6"/>
  <c r="F11" i="6"/>
  <c r="F12" i="6"/>
  <c r="F13" i="6"/>
  <c r="F14" i="6"/>
  <c r="F15" i="6"/>
  <c r="F16" i="6"/>
  <c r="F17" i="6"/>
  <c r="F18" i="6"/>
  <c r="F2" i="6"/>
  <c r="D99" i="1"/>
  <c r="D98" i="1"/>
  <c r="D97"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100" i="1"/>
  <c r="D3" i="1"/>
  <c r="D4" i="1"/>
  <c r="D5" i="1"/>
  <c r="D6" i="1"/>
  <c r="D7" i="1"/>
  <c r="D8" i="1"/>
  <c r="D9" i="1"/>
  <c r="D10" i="1"/>
  <c r="D11" i="1"/>
  <c r="D12" i="1"/>
  <c r="D13" i="1"/>
  <c r="D2" i="1"/>
  <c r="M9" i="10" l="1"/>
  <c r="O9" i="10"/>
  <c r="N9" i="10"/>
  <c r="L9" i="10"/>
  <c r="H4" i="10"/>
  <c r="G2" i="10"/>
  <c r="I2" i="10" s="1"/>
  <c r="H2" i="10"/>
  <c r="J2" i="10" s="1"/>
  <c r="K9" i="10"/>
  <c r="B4" i="10"/>
  <c r="B6" i="12"/>
  <c r="E3" i="12" s="1"/>
  <c r="B3" i="10"/>
  <c r="O2" i="10"/>
  <c r="C4" i="10"/>
  <c r="G4" i="10"/>
  <c r="O13" i="10"/>
  <c r="C6" i="12"/>
  <c r="F2" i="12" s="1"/>
  <c r="C3" i="10"/>
  <c r="H3" i="10"/>
  <c r="C13" i="10"/>
  <c r="H13" i="10"/>
  <c r="L6" i="10"/>
  <c r="N6" i="10"/>
  <c r="C12" i="10"/>
  <c r="H12" i="10"/>
  <c r="L5" i="10"/>
  <c r="N5" i="10"/>
  <c r="B11" i="10"/>
  <c r="G11" i="10"/>
  <c r="K4" i="10"/>
  <c r="M4" i="10"/>
  <c r="O4" i="10"/>
  <c r="C10" i="10"/>
  <c r="B8" i="10"/>
  <c r="C8" i="10"/>
  <c r="G8" i="10"/>
  <c r="H8" i="10"/>
  <c r="K13" i="10"/>
  <c r="L13" i="10"/>
  <c r="M13" i="10"/>
  <c r="N13" i="10"/>
  <c r="B7" i="10"/>
  <c r="C7" i="10"/>
  <c r="G7" i="10"/>
  <c r="H7" i="10"/>
  <c r="K12" i="10"/>
  <c r="L12" i="10"/>
  <c r="M12" i="10"/>
  <c r="N12" i="10"/>
  <c r="O12" i="10"/>
  <c r="D2" i="12"/>
  <c r="O11" i="10"/>
  <c r="D5" i="12"/>
  <c r="B6" i="10"/>
  <c r="C6" i="10"/>
  <c r="G6" i="10"/>
  <c r="H6" i="10"/>
  <c r="K11" i="10"/>
  <c r="L11" i="10"/>
  <c r="M11" i="10"/>
  <c r="N11" i="10"/>
  <c r="B5" i="10"/>
  <c r="C5" i="10"/>
  <c r="G5" i="10"/>
  <c r="H5" i="10"/>
  <c r="K10" i="10"/>
  <c r="L10" i="10"/>
  <c r="M10" i="10"/>
  <c r="N10" i="10"/>
  <c r="O10" i="10"/>
  <c r="D4" i="12"/>
  <c r="D3" i="12"/>
  <c r="L8" i="10"/>
  <c r="M8" i="10"/>
  <c r="N8" i="10"/>
  <c r="O8" i="10"/>
  <c r="B2" i="10"/>
  <c r="C2" i="10"/>
  <c r="K7" i="10"/>
  <c r="L7" i="10"/>
  <c r="M7" i="10"/>
  <c r="N7" i="10"/>
  <c r="O7" i="10"/>
  <c r="O6" i="10"/>
  <c r="G3" i="10"/>
  <c r="K8" i="10"/>
  <c r="B13" i="10"/>
  <c r="G13" i="10"/>
  <c r="K6" i="10"/>
  <c r="M6" i="10"/>
  <c r="B12" i="10"/>
  <c r="G12" i="10"/>
  <c r="K5" i="10"/>
  <c r="M5" i="10"/>
  <c r="O5" i="10"/>
  <c r="C11" i="10"/>
  <c r="H11" i="10"/>
  <c r="L4" i="10"/>
  <c r="N4" i="10"/>
  <c r="B10" i="10"/>
  <c r="G10" i="10"/>
  <c r="H10" i="10"/>
  <c r="K3" i="10"/>
  <c r="L3" i="10"/>
  <c r="M3" i="10"/>
  <c r="N3" i="10"/>
  <c r="O3" i="10"/>
  <c r="B9" i="10"/>
  <c r="C9" i="10"/>
  <c r="G9" i="10"/>
  <c r="H9" i="10"/>
  <c r="K2" i="10"/>
  <c r="L2" i="10"/>
  <c r="M2" i="10"/>
  <c r="N2" i="10"/>
  <c r="E4" i="12" l="1"/>
  <c r="E5" i="12"/>
  <c r="E2" i="12"/>
  <c r="O14" i="10"/>
  <c r="M14" i="10"/>
  <c r="D10" i="10"/>
  <c r="E10" i="10" s="1"/>
  <c r="D9" i="10"/>
  <c r="F9" i="10" s="1"/>
  <c r="D7" i="10"/>
  <c r="F7" i="10" s="1"/>
  <c r="D11" i="10"/>
  <c r="F11" i="10" s="1"/>
  <c r="B14" i="10"/>
  <c r="C14" i="10"/>
  <c r="N14" i="10"/>
  <c r="H14" i="10"/>
  <c r="K14" i="10"/>
  <c r="L14" i="10"/>
  <c r="F5" i="12"/>
  <c r="G14" i="10"/>
  <c r="F4" i="12"/>
  <c r="F3" i="12"/>
  <c r="D2" i="10"/>
  <c r="J3" i="10"/>
  <c r="J4" i="10" s="1"/>
  <c r="J5" i="10" s="1"/>
  <c r="J6" i="10" s="1"/>
  <c r="J7" i="10" s="1"/>
  <c r="J8" i="10" s="1"/>
  <c r="J9" i="10" s="1"/>
  <c r="J10" i="10" s="1"/>
  <c r="J11" i="10" s="1"/>
  <c r="J12" i="10" s="1"/>
  <c r="J13" i="10" s="1"/>
  <c r="I3" i="10"/>
  <c r="I4" i="10" s="1"/>
  <c r="I5" i="10" s="1"/>
  <c r="I6" i="10" s="1"/>
  <c r="I7" i="10" s="1"/>
  <c r="I8" i="10" s="1"/>
  <c r="I9" i="10" s="1"/>
  <c r="I10" i="10" s="1"/>
  <c r="I11" i="10" s="1"/>
  <c r="I12" i="10" s="1"/>
  <c r="I13" i="10" s="1"/>
  <c r="E9" i="10"/>
  <c r="D13" i="10"/>
  <c r="F13" i="10" s="1"/>
  <c r="D12" i="10"/>
  <c r="F12" i="10" s="1"/>
  <c r="D6" i="10"/>
  <c r="F6" i="10" s="1"/>
  <c r="D4" i="10"/>
  <c r="E4" i="10" s="1"/>
  <c r="D5" i="10"/>
  <c r="D8" i="10"/>
  <c r="F8" i="10" s="1"/>
  <c r="D3" i="10"/>
  <c r="F10" i="10" l="1"/>
  <c r="E7" i="10"/>
  <c r="E11" i="10"/>
  <c r="F2" i="10"/>
  <c r="D14" i="10"/>
  <c r="E6" i="10"/>
  <c r="E2" i="10"/>
  <c r="E8" i="10"/>
  <c r="E13" i="10"/>
  <c r="E12" i="10"/>
  <c r="F5" i="10"/>
  <c r="E5" i="10"/>
  <c r="F3" i="10"/>
  <c r="E3" i="10"/>
  <c r="F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tc={8E73FC86-65A0-4757-9AA1-6F9CFCB84FA8}</author>
    <author>tc={E97C0882-0691-48D0-B312-9C22E47759A4}</author>
    <author>tc={1E131B30-758D-470F-9791-26D922E46EB5}</author>
  </authors>
  <commentList>
    <comment ref="G8" authorId="0" shapeId="0" xr:uid="{8E73FC86-65A0-4757-9AA1-6F9CFCB84FA8}">
      <text>
        <t>[Threaded comment]
Your version of Excel allows you to read this threaded comment; however, any edits to it will get removed if the file is opened in a newer version of Excel. Learn more: https://go.microsoft.com/fwlink/?linkid=870924
Comment:
    Debatable as game play was very weak and most features were aesthetic.</t>
      </text>
    </comment>
    <comment ref="G21" authorId="1" shapeId="0" xr:uid="{E97C0882-0691-48D0-B312-9C22E47759A4}">
      <text>
        <t>[Threaded comment]
Your version of Excel allows you to read this threaded comment; however, any edits to it will get removed if the file is opened in a newer version of Excel. Learn more: https://go.microsoft.com/fwlink/?linkid=870924
Comment:
    Strong case for ‘hybrid’</t>
      </text>
    </comment>
    <comment ref="G43" authorId="2" shapeId="0" xr:uid="{1E131B30-758D-470F-9791-26D922E46EB5}">
      <text>
        <t>[Threaded comment]
Your version of Excel allows you to read this threaded comment; however, any edits to it will get removed if the file is opened in a newer version of Excel. Learn more: https://go.microsoft.com/fwlink/?linkid=870924
Comment:
    Does the butler add significant game play or is it just a bonus?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tc={92D2B0A9-B908-48E0-83BF-B9FFF9BDB9FB}</author>
    <author>tc={36F57AA9-98D0-4C3B-8EE0-7A24DCD3389E}</author>
    <author>tc={22E3712A-ADAA-4F64-9548-D2D9DCB7D705}</author>
  </authors>
  <commentList>
    <comment ref="G8" authorId="0" shapeId="0" xr:uid="{92D2B0A9-B908-48E0-83BF-B9FFF9BDB9FB}">
      <text>
        <t>[Threaded comment]
Your version of Excel allows you to read this threaded comment; however, any edits to it will get removed if the file is opened in a newer version of Excel. Learn more: https://go.microsoft.com/fwlink/?linkid=870924
Comment:
    Debatable as game play was very weak and most features were aesthetic.</t>
      </text>
    </comment>
    <comment ref="G21" authorId="1" shapeId="0" xr:uid="{36F57AA9-98D0-4C3B-8EE0-7A24DCD3389E}">
      <text>
        <t>[Threaded comment]
Your version of Excel allows you to read this threaded comment; however, any edits to it will get removed if the file is opened in a newer version of Excel. Learn more: https://go.microsoft.com/fwlink/?linkid=870924
Comment:
    Strong case for ‘hybrid’</t>
      </text>
    </comment>
    <comment ref="G43" authorId="2" shapeId="0" xr:uid="{22E3712A-ADAA-4F64-9548-D2D9DCB7D705}">
      <text>
        <t>[Threaded comment]
Your version of Excel allows you to read this threaded comment; however, any edits to it will get removed if the file is opened in a newer version of Excel. Learn more: https://go.microsoft.com/fwlink/?linkid=870924
Comment:
    Does the butler add significant game play or is it just a bonus?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tc={A2E508A1-C324-46AF-9454-B28D7F59AC74}</author>
  </authors>
  <commentList>
    <comment ref="F2" authorId="0" shapeId="0" xr:uid="{A2E508A1-C324-46AF-9454-B28D7F59AC74}">
      <text>
        <t>[Threaded comment]
Your version of Excel allows you to read this threaded comment; however, any edits to it will get removed if the file is opened in a newer version of Excel. Learn more: https://go.microsoft.com/fwlink/?linkid=870924
Comment:
    Counts from the year it was first requested to 2026. If added late, it counts from when requested to when it was finally added.</t>
      </text>
    </comment>
  </commentList>
</comments>
</file>

<file path=xl/sharedStrings.xml><?xml version="1.0" encoding="utf-8"?>
<sst xmlns="http://schemas.openxmlformats.org/spreadsheetml/2006/main" count="2187" uniqueCount="423">
  <si>
    <t>Get Together</t>
  </si>
  <si>
    <t>City Living</t>
  </si>
  <si>
    <t>Cats &amp; Dogs</t>
  </si>
  <si>
    <t>Seasons</t>
  </si>
  <si>
    <t>Get Famous</t>
  </si>
  <si>
    <t>Island Living</t>
  </si>
  <si>
    <t>Discover University</t>
  </si>
  <si>
    <t>Eco Lifestyle</t>
  </si>
  <si>
    <t>Snowy Escape</t>
  </si>
  <si>
    <t>Cottage Living</t>
  </si>
  <si>
    <t>High School Years</t>
  </si>
  <si>
    <t>Growing Together</t>
  </si>
  <si>
    <t>Horse Ranch</t>
  </si>
  <si>
    <t>For Rent</t>
  </si>
  <si>
    <t>Lovestruck</t>
  </si>
  <si>
    <t>Life &amp; Death</t>
  </si>
  <si>
    <t>Businesses &amp; Hobbies</t>
  </si>
  <si>
    <t>Enchanted by Nature</t>
  </si>
  <si>
    <t>Adventure Awaits</t>
  </si>
  <si>
    <t>Outdoor Retreat</t>
  </si>
  <si>
    <t>Game Pack</t>
  </si>
  <si>
    <t>Spa Day</t>
  </si>
  <si>
    <t>Dine Out</t>
  </si>
  <si>
    <t>Vampires</t>
  </si>
  <si>
    <t>Parenthood</t>
  </si>
  <si>
    <t>Jungle Adventure</t>
  </si>
  <si>
    <t>StrangerVille</t>
  </si>
  <si>
    <t>Realm of Magic</t>
  </si>
  <si>
    <t>Star Wars: Journey to Batuu</t>
  </si>
  <si>
    <t>Dream Home Decorator</t>
  </si>
  <si>
    <t>My Wedding Stories</t>
  </si>
  <si>
    <t>Werewolves</t>
  </si>
  <si>
    <t>Luxury Party Stuff</t>
  </si>
  <si>
    <t>Stuff Pack</t>
  </si>
  <si>
    <t>Perfect Patio Stuff</t>
  </si>
  <si>
    <t>Cool Kitchen Stuff</t>
  </si>
  <si>
    <t>Spooky Stuff</t>
  </si>
  <si>
    <t>Movie Hangout Stuff</t>
  </si>
  <si>
    <t>Romantic Garden Stuff</t>
  </si>
  <si>
    <t>Kids Room Stuff</t>
  </si>
  <si>
    <t>Backyard Stuff</t>
  </si>
  <si>
    <t>Vintage Glamour Stuff</t>
  </si>
  <si>
    <t>Bowling Night Stuff</t>
  </si>
  <si>
    <t>Fitness Stuff</t>
  </si>
  <si>
    <t>Toddler Stuff</t>
  </si>
  <si>
    <t>Laundry Day Stuff</t>
  </si>
  <si>
    <t>My First Pet Stuff</t>
  </si>
  <si>
    <t>Moschino Stuff</t>
  </si>
  <si>
    <t>Tiny Living Stuff</t>
  </si>
  <si>
    <t>Nifty Knitting Stuff</t>
  </si>
  <si>
    <t>Paranormal Stuff</t>
  </si>
  <si>
    <t>Home Chef Hustle Stuff</t>
  </si>
  <si>
    <t>Crystal Creations Stuff</t>
  </si>
  <si>
    <t>Bust the Dust Kit</t>
  </si>
  <si>
    <t>Kit</t>
  </si>
  <si>
    <t>Country Kitchen Kit</t>
  </si>
  <si>
    <t>Courtyard Oasis Kit</t>
  </si>
  <si>
    <t>Industrial Loft Kit</t>
  </si>
  <si>
    <t>Fashion Street Kit</t>
  </si>
  <si>
    <t>Incheon Arrivals Kit</t>
  </si>
  <si>
    <t>Blooming Rooms Kit</t>
  </si>
  <si>
    <t>Modern Menswear Kit</t>
  </si>
  <si>
    <t>Carnaval Streetwear Kit</t>
  </si>
  <si>
    <t>Décor to the Max Kit</t>
  </si>
  <si>
    <t>Moonlight Chic Kit</t>
  </si>
  <si>
    <t>First Fits Kit</t>
  </si>
  <si>
    <t>Desert Luxe Kit</t>
  </si>
  <si>
    <t>Pastel Pop Kit</t>
  </si>
  <si>
    <t>Simtimates Collection Kit</t>
  </si>
  <si>
    <t>Greenhouse Haven Kit</t>
  </si>
  <si>
    <t>Grunge Revival Kit</t>
  </si>
  <si>
    <t>Poolside Splash Kit</t>
  </si>
  <si>
    <t>Castle Estate Kit</t>
  </si>
  <si>
    <t>Goth Galore Kit</t>
  </si>
  <si>
    <t>Riviera Retreat Kit</t>
  </si>
  <si>
    <t>Artist Studio Kit</t>
  </si>
  <si>
    <t>Storybook Nursery Kit</t>
  </si>
  <si>
    <t>Comfy Gamer Kit</t>
  </si>
  <si>
    <t>Secret Sanctuary Kit</t>
  </si>
  <si>
    <t>Casanova Cave Kit</t>
  </si>
  <si>
    <t>Kitchen Clutter Kit</t>
  </si>
  <si>
    <t>Autumn Apparel Kit</t>
  </si>
  <si>
    <t>SpongeBob’s House Kit</t>
  </si>
  <si>
    <t>SpongeBob Kid’s Room Kit</t>
  </si>
  <si>
    <t>Pack Name</t>
  </si>
  <si>
    <t xml:space="preserve">Pack Type </t>
  </si>
  <si>
    <t>Release Date</t>
  </si>
  <si>
    <t>Release Year</t>
  </si>
  <si>
    <t>Get to Work</t>
  </si>
  <si>
    <t>Aesthetic</t>
  </si>
  <si>
    <t>Active Careers &amp; Aliens (Major system change).</t>
  </si>
  <si>
    <t>Club System (Massive social engine upgrade).</t>
  </si>
  <si>
    <t>Apartments (System) + Culture/Festivals (Aesthetic).</t>
  </si>
  <si>
    <t>Entirely new AI for pets and Vet career.</t>
  </si>
  <si>
    <t>Global weather and calendar (The ultimate "Life" pack).</t>
  </si>
  <si>
    <t>Fame/Reputation system + tons of "lifestyle" decor.</t>
  </si>
  <si>
    <t>Mostly "vacation vibes" and world-building; weak gameplay.</t>
  </si>
  <si>
    <t>Education system and degree-based career paths.</t>
  </si>
  <si>
    <t>Neighborhood Action Plans (Gameplay) + Crafting (Aesthetic).</t>
  </si>
  <si>
    <t>Lifestyles/Sentiments (Light) + heavy focus on "vibe" items.</t>
  </si>
  <si>
    <t>Farming/Simple Living (System) + Country Decor.</t>
  </si>
  <si>
    <t>Active High School (System) + Heavy focus on "Trendi" (Lifestyle).</t>
  </si>
  <si>
    <t>Family Dynamics &amp; Milestones (Deepens "Life" sim).</t>
  </si>
  <si>
    <t>Focuses on Horses as "collectibles" and ranch aesthetic.</t>
  </si>
  <si>
    <t>Multi-unit residential system (Core engine update).</t>
  </si>
  <si>
    <t>Dating App/Attraction (System) + "Romantic" items.</t>
  </si>
  <si>
    <t>Ghost overhaul, Bucket Lists, and Grim Reaper career.</t>
  </si>
  <si>
    <t>Small business ownership and hobby-based skills.</t>
  </si>
  <si>
    <t>Vacation world and exploration "vibes"</t>
  </si>
  <si>
    <t>Added Fairies (Gameplay) heavy focus on "aesthetic" foraging and off-grid "vibes"</t>
  </si>
  <si>
    <t xml:space="preserve">Primary Impact </t>
  </si>
  <si>
    <t>Herbalism skill and vacation system.</t>
  </si>
  <si>
    <t>Wellness is a minor skill; mostly focused on "Spa" decor.</t>
  </si>
  <si>
    <t>Restaurant management system (major engine layer).</t>
  </si>
  <si>
    <t>Deep power/weakness tree (best supernatural AI).</t>
  </si>
  <si>
    <t>Character Values &amp; Discipline (core life simulation).</t>
  </si>
  <si>
    <t>Archaeology system + huge focus on "vibe" items.</t>
  </si>
  <si>
    <t>Linear story/quest system + Military career.</t>
  </si>
  <si>
    <t>Spells and potions systems.</t>
  </si>
  <si>
    <t>Mostly "cosplay" and scenery; gameplay is a simple menu.</t>
  </si>
  <si>
    <t>An "Interior Design" career that is 100% aesthetic focus.</t>
  </si>
  <si>
    <t>Adds a wedding system (buggy) + heavy lifestyle decor.</t>
  </si>
  <si>
    <t>Complex Temperament &amp; Ability systems.</t>
  </si>
  <si>
    <t>High-end furniture and a buffet table.</t>
  </si>
  <si>
    <t>Kitchen decor + functional Ice Cream Machine.</t>
  </si>
  <si>
    <t>Costumes and pumpkin carving (minor activity).</t>
  </si>
  <si>
    <t>Large projector screens and movie-watching mechanics.</t>
  </si>
  <si>
    <t>Wishing Well (gameplay) + heavy focus on landscaping.</t>
  </si>
  <si>
    <t>Voidcritter Battle Station (new collectible system).</t>
  </si>
  <si>
    <t>Water slides + patio decor.</t>
  </si>
  <si>
    <t>The Butler NPC (adds a "Life" management system).</t>
  </si>
  <si>
    <t>Functional bowling alleys and skills.</t>
  </si>
  <si>
    <t>Rock climbing wall + workout videos.</t>
  </si>
  <si>
    <t>Mostly play equipment; very light on new mechanics.</t>
  </si>
  <si>
    <t>Entire laundry system (The peak of community-voted "Life" gameplay).</t>
  </si>
  <si>
    <t>Small caged pets; widely criticized as "DLC for DLC."</t>
  </si>
  <si>
    <t>Fashion photography career (Life) + Designer clothes.</t>
  </si>
  <si>
    <t>Tiny Home lot perks (Engine/System level change).</t>
  </si>
  <si>
    <t>Knitting skill + Plopsy online store (New mechanic).</t>
  </si>
  <si>
    <t>Haunted House lots + Bonehilda NPC.</t>
  </si>
  <si>
    <t>Portable food stands and deep cooking overhaul.</t>
  </si>
  <si>
    <t>Gemology system + jewelry-making (Heavy aesthetic).</t>
  </si>
  <si>
    <t>Throwback Fit</t>
  </si>
  <si>
    <t>Collaboration with Lilsimsie; gaming setups/clutter.</t>
  </si>
  <si>
    <t>Luxury furniture and hidden bookcase doors.</t>
  </si>
  <si>
    <t>Masculine "bachelor pad" furniture and fashion.</t>
  </si>
  <si>
    <t>High-detail kitchen mess and small items.</t>
  </si>
  <si>
    <t>Functional repair benches (Rare Gameplay addition).</t>
  </si>
  <si>
    <t>Clothing and items for Elder Sims.</t>
  </si>
  <si>
    <t>Fall-themed fashion assets.</t>
  </si>
  <si>
    <t>Licensed Bikini Bottom furniture.</t>
  </si>
  <si>
    <t>Licensed character-themed kids' items.</t>
  </si>
  <si>
    <t>90s Athleisure clothing.</t>
  </si>
  <si>
    <t>Rustic kitchen furniture.</t>
  </si>
  <si>
    <t>Functional vacuums and dust system.</t>
  </si>
  <si>
    <t>Moroccan-inspired architecture.</t>
  </si>
  <si>
    <t>Raw, repurposed furniture.</t>
  </si>
  <si>
    <t>Mumbai-inspired clothing.</t>
  </si>
  <si>
    <t>Seoul airport fashion.</t>
  </si>
  <si>
    <t>Indoor plants and botanical decor.</t>
  </si>
  <si>
    <t>Experimental male fashion.</t>
  </si>
  <si>
    <t>High-energy Brazilian fashion.</t>
  </si>
  <si>
    <t>Maximalist home decor.</t>
  </si>
  <si>
    <t>Parisian-night-out fashion.</t>
  </si>
  <si>
    <t>Backyard camping gear (Visual only).</t>
  </si>
  <si>
    <t>Child-specific clothing.</t>
  </si>
  <si>
    <t>Earthy, neutral furniture.</t>
  </si>
  <si>
    <t>60s/70s inspired "vibe" items.</t>
  </si>
  <si>
    <t>Small "used" items for realism.</t>
  </si>
  <si>
    <t>Underwear and sleepwear.</t>
  </si>
  <si>
    <t>Toothbrushes, soaps, etc.</t>
  </si>
  <si>
    <t>Gardening-themed glass decor.</t>
  </si>
  <si>
    <t>Second-hand, dusty furniture.</t>
  </si>
  <si>
    <t>Rebellious, worn-out fashion.</t>
  </si>
  <si>
    <t>Cozy reading corner furniture.</t>
  </si>
  <si>
    <t>Swimwear and pool accessories.</t>
  </si>
  <si>
    <t>Opulent, high-end furniture.</t>
  </si>
  <si>
    <t>Medieval architecture.</t>
  </si>
  <si>
    <t>Modern goth clothing.</t>
  </si>
  <si>
    <t>90s/00s London street style.</t>
  </si>
  <si>
    <t>Party streamers and disco balls.</t>
  </si>
  <si>
    <t>Poolside "Italian coast" furniture.</t>
  </si>
  <si>
    <t>Cafe-themed tables and decor.</t>
  </si>
  <si>
    <t>Painting supplies and decor.</t>
  </si>
  <si>
    <t>Whimsical infant furniture.</t>
  </si>
  <si>
    <t>The Sims 3 (2009)</t>
  </si>
  <si>
    <t>No</t>
  </si>
  <si>
    <t>Yes</t>
  </si>
  <si>
    <t>Category</t>
  </si>
  <si>
    <t>Definition</t>
  </si>
  <si>
    <t>Base Game</t>
  </si>
  <si>
    <t>Introduces core life-simulations systems</t>
  </si>
  <si>
    <t>Launch Price USD</t>
  </si>
  <si>
    <t>Simulation-Rich vs. Aesthetic</t>
  </si>
  <si>
    <t>Simulation-Rich</t>
  </si>
  <si>
    <t>Royalty &amp; Legacy</t>
  </si>
  <si>
    <t>Added Hot Tubs (a major requested functional object) but everything else is 'vibe'</t>
  </si>
  <si>
    <t>The Sims 4 Base Game</t>
  </si>
  <si>
    <t>Generational gameplay, family lineage. Inheritance, heir mechanics</t>
  </si>
  <si>
    <t>Currently Free?</t>
  </si>
  <si>
    <t>Little Campers Kit</t>
  </si>
  <si>
    <t>Everyday Clutter Kit</t>
  </si>
  <si>
    <t>Bathroom Clutter Kit</t>
  </si>
  <si>
    <t>The Golden Years Kit</t>
  </si>
  <si>
    <t>Restoration Workshop Kit</t>
  </si>
  <si>
    <t>Cozy Bistro Kit</t>
  </si>
  <si>
    <t>Party Essentials Kit</t>
  </si>
  <si>
    <t>Modern Luxe Kit</t>
  </si>
  <si>
    <t>Book Nook Kit</t>
  </si>
  <si>
    <t>Basement Treasures Kit</t>
  </si>
  <si>
    <t xml:space="preserve">Expansion Pack </t>
  </si>
  <si>
    <t>Expansion Pack</t>
  </si>
  <si>
    <t>Urban Homage Kit</t>
  </si>
  <si>
    <t>Silver Screen Kit</t>
  </si>
  <si>
    <t>Tea Time Solarium Kit</t>
  </si>
  <si>
    <t>Wonderland Playroom Kit</t>
  </si>
  <si>
    <t>Decorative build objects only</t>
  </si>
  <si>
    <t>Vintage décor, no gameplay</t>
  </si>
  <si>
    <t>Children's room décor only</t>
  </si>
  <si>
    <t>Feature Name</t>
  </si>
  <si>
    <t>Description</t>
  </si>
  <si>
    <t>Current Status</t>
  </si>
  <si>
    <t>Year Added</t>
  </si>
  <si>
    <t>Years Ignored</t>
  </si>
  <si>
    <t>Open World</t>
  </si>
  <si>
    <t>Drivable Cars</t>
  </si>
  <si>
    <t>Toddlers</t>
  </si>
  <si>
    <t>Genetics Improvement</t>
  </si>
  <si>
    <t>Spiral Staircases</t>
  </si>
  <si>
    <t>Family tree System</t>
  </si>
  <si>
    <t>Never Added</t>
  </si>
  <si>
    <t>Added Late</t>
  </si>
  <si>
    <t>Partially Added</t>
  </si>
  <si>
    <t>Story Progression</t>
  </si>
  <si>
    <t>Terrain Tools</t>
  </si>
  <si>
    <t>Curved Walls</t>
  </si>
  <si>
    <t>Attraction System</t>
  </si>
  <si>
    <t>Freedom to move between lots and neighborhoods without loading screens</t>
  </si>
  <si>
    <t>A tool allowing players to recolor any objects, clothing, or furniture in any custom color</t>
  </si>
  <si>
    <t>Functional vehicles Sims can own, drive, and use to travel</t>
  </si>
  <si>
    <t>An NPC that breaks into Sims' houses to steal items</t>
  </si>
  <si>
    <t>A fully playable toddler life stage with unique interactions, skills and needs</t>
  </si>
  <si>
    <t>Curved and spiral staircase options</t>
  </si>
  <si>
    <t>A full visual family tree showing generational history and relationship betweeb Sims</t>
  </si>
  <si>
    <t>Weather and temperature effects as a base game feature</t>
  </si>
  <si>
    <t>Bands/Music Groups</t>
  </si>
  <si>
    <t>Neighborhood Sims aging, getting jobs, marrying and having children without player intervention</t>
  </si>
  <si>
    <t>The ability to raise, lower, and sculpt terrain in lots</t>
  </si>
  <si>
    <t>The ability to build curved and rounded walls in build mode</t>
  </si>
  <si>
    <t>A system where Sims feel genuine attraction/repulsion based on personality</t>
  </si>
  <si>
    <t>A tool allowing players to build and edit worlds and neighborhoods</t>
  </si>
  <si>
    <t>The ability for Sims to form bands and perform music together</t>
  </si>
  <si>
    <t>N/A</t>
  </si>
  <si>
    <t>Temerature System (base game)</t>
  </si>
  <si>
    <t>Children inheriting dominant and recessive traits and facial features across multiple generations</t>
  </si>
  <si>
    <t>Multiplayer/Visit Other Players' Worlds</t>
  </si>
  <si>
    <t>The ability for players to visut each other's worlds and play together in real time</t>
  </si>
  <si>
    <t>The ability to build and use swimming pools. Launched without but added months later.</t>
  </si>
  <si>
    <t>Earliest Verified Request</t>
  </si>
  <si>
    <t>Color Wheel/Recolor Tool</t>
  </si>
  <si>
    <t>Family Tree System</t>
  </si>
  <si>
    <t>Weather/Seasons (Base Game)</t>
  </si>
  <si>
    <t>Genetics System</t>
  </si>
  <si>
    <t>Pets</t>
  </si>
  <si>
    <t>University</t>
  </si>
  <si>
    <t>Active Careers</t>
  </si>
  <si>
    <t>Pools</t>
  </si>
  <si>
    <t>YES</t>
  </si>
  <si>
    <t>inZOI (2025)</t>
  </si>
  <si>
    <t>Paralives (2026)</t>
  </si>
  <si>
    <t>NO</t>
  </si>
  <si>
    <t>PARTIAL</t>
  </si>
  <si>
    <t>FREE</t>
  </si>
  <si>
    <t>Total DLC Cost (excluding base game)</t>
  </si>
  <si>
    <t>Total Cost to Own (including base game)</t>
  </si>
  <si>
    <t>Base Game Price (Launch)</t>
  </si>
  <si>
    <t>Total DLC Packs(excluding base game)</t>
  </si>
  <si>
    <t>The Sims 3 Launch (2009)</t>
  </si>
  <si>
    <t>The Sims 4 Full Game (2026)</t>
  </si>
  <si>
    <t>The Sims 4 Base Game Now (2026)</t>
  </si>
  <si>
    <t>The Sims 4 Launch (2014)</t>
  </si>
  <si>
    <t>Infant Life Stage</t>
  </si>
  <si>
    <t>Toddler Life Stage</t>
  </si>
  <si>
    <t>Complete Life Stages</t>
  </si>
  <si>
    <t>Feature Category</t>
  </si>
  <si>
    <t>World &amp; Navigation</t>
  </si>
  <si>
    <t>Build Mode</t>
  </si>
  <si>
    <t>Life Simulation</t>
  </si>
  <si>
    <t>Careers &amp; Education</t>
  </si>
  <si>
    <t>Burglars/Danger Mechanics</t>
  </si>
  <si>
    <t>Occult Life States</t>
  </si>
  <si>
    <t>Careers System</t>
  </si>
  <si>
    <t>World Editor/ Create-a-World</t>
  </si>
  <si>
    <t>Grid-Free Object Placement</t>
  </si>
  <si>
    <t>Feature</t>
  </si>
  <si>
    <t>Impact on Simulation</t>
  </si>
  <si>
    <t>Feature Type</t>
  </si>
  <si>
    <t>HIGH</t>
  </si>
  <si>
    <t>Color Wheel/ create-a-Style</t>
  </si>
  <si>
    <t>MEDIUM</t>
  </si>
  <si>
    <t xml:space="preserve">Pools </t>
  </si>
  <si>
    <t>LOW</t>
  </si>
  <si>
    <t>Core</t>
  </si>
  <si>
    <t>Expected</t>
  </si>
  <si>
    <t>Bonus</t>
  </si>
  <si>
    <t>SECTION 1 : PROJECT DEFINITIONS</t>
  </si>
  <si>
    <t>Term</t>
  </si>
  <si>
    <t>DLC</t>
  </si>
  <si>
    <t>Launch Price</t>
  </si>
  <si>
    <t>Total Cost to Own</t>
  </si>
  <si>
    <t>Downloadable Content: any paid content released for The Sims 4 after the base game. Included Expansion Packs, Game Packs, Stuff Packs and Kits.</t>
  </si>
  <si>
    <t>The core game purchased at launch. Not considered DLC. Recorded separately in all cost calculations.</t>
  </si>
  <si>
    <t>The standard USD retail price of a pack on its first day of release. Used consistently across all cost calculations regardless of subsequent price changes, discounts, or bundle pricing.</t>
  </si>
  <si>
    <t>The combined cost of all the base game plus all individual DLC packs at their launch prices. Does not include bundle discounts, sale prices, or subscription pricing.</t>
  </si>
  <si>
    <t>SECTION 2: CONTENT CATEGORY DEFINITIONS</t>
  </si>
  <si>
    <t>AESTHETIC</t>
  </si>
  <si>
    <t>SIMULATION-RICH</t>
  </si>
  <si>
    <t>A pack whose primary purpose is to add visual content (clothing, furniture, décor, or build objects) without introducing a new gameplay system, mechanic, or simulation feature</t>
  </si>
  <si>
    <t>Classification Rule</t>
  </si>
  <si>
    <t>If removing all new items would leave the game playing identically, it is AESTHETIC</t>
  </si>
  <si>
    <t>A pack whose primary purpose is to introduce a new gameplay system, mechanic, life stage, career with genuine depth, or world feature that changes how the game functions.</t>
  </si>
  <si>
    <t>If the pack introduces something that changes what a Sim can do or experience in a meaningful way, it is SIMULATION-RICH</t>
  </si>
  <si>
    <t>SECTION 3: PACK TYPE DEFINITIONS</t>
  </si>
  <si>
    <t>Pack Type</t>
  </si>
  <si>
    <t>Creator Kit</t>
  </si>
  <si>
    <t>EA's premium DLC tier. Introduces a  new world and multiple new gameplay systems.</t>
  </si>
  <si>
    <t>Mid-tier DLC. Focuses on one specific gameplay theme or mechanic.</t>
  </si>
  <si>
    <t>Lower tier DLC. Primarily adds new objects, clothing, and décor with minimal gameplay additions.</t>
  </si>
  <si>
    <t>EA's lowest tier DLC introduced in 2021. Almost exclusively cosmetic content (new clothing and buy items).</t>
  </si>
  <si>
    <t>A Kit designed by a community creator in collaboration with EA. Excluded from this dataset as it represents community-designed content rather than an internal EA content strategy decision.</t>
  </si>
  <si>
    <t>SECTION 4: FEATURE &amp; COST COMPARISON DEFINITIONS</t>
  </si>
  <si>
    <t xml:space="preserve">The feature is fully available in the game at the version being assessed (either base game at launch or current full game.) </t>
  </si>
  <si>
    <t>The feature is not available in the gane at the version being assessed.</t>
  </si>
  <si>
    <t>The game has a limited, shallow, or incomplete version of the feature. It exists but does not fully deliver on the feature's potential.</t>
  </si>
  <si>
    <t>The Sims 3 base game as released on June 2, 2009. Reflects only what was included at launch without any expansion or stuff packs</t>
  </si>
  <si>
    <t>The Sims 4 base game as released on September 2, 2024. Reflects only what was included on day one.</t>
  </si>
  <si>
    <t>The Sims 4 as it exists in March 2026 with every paid DLC pack included. Represents the maximum possible game experience at a total cost of $1,568.01.</t>
  </si>
  <si>
    <t>inZOI as released on March 28, 2025 during Early Access. Reflects launch features only.</t>
  </si>
  <si>
    <t>Paralives as released on May 25 2026 during Early Acccess. Reflects launch features only. (Planned)</t>
  </si>
  <si>
    <t>SECTION 5: FEATURE TYPE DEFINITIONS</t>
  </si>
  <si>
    <t>A feature so fundamental to the life simulation genre that its absense undermines the game's core promise. Every life simulator should have this</t>
  </si>
  <si>
    <t>A feature that players reasonable expect based on genre conventions and predecessor titles. Its absence is notable and disappointing but does not entirely breack the simulation promise.</t>
  </si>
  <si>
    <t>A feature that meaningfully enriches the experience but whose absence does not fundamentally undermine the life simulation promise.</t>
  </si>
  <si>
    <t>SECTION 6: FAN REQUESTS DEFINITIONS</t>
  </si>
  <si>
    <t>Impact on Simulation - High</t>
  </si>
  <si>
    <t>Impact on Simulation - Medium</t>
  </si>
  <si>
    <t>Impact of Simulation - Low</t>
  </si>
  <si>
    <t>The oldest forum post, Reddit thread, social media,or new article found during research that documents the community requesting this feature. Does not claim to be the asolute first time the feature was ever requested.</t>
  </si>
  <si>
    <t>The feature has not been added to The Sims 4 in any form as of 2026.</t>
  </si>
  <si>
    <t>The feature was eventually added to The Sims 4 but only after a significant period of community requests (typically two or more years after first being widely requested).</t>
  </si>
  <si>
    <t>A limited or shallow version of the feature was added but the full implementation players requested has never been delivered.</t>
  </si>
  <si>
    <t>Calculated ising the formula =IF(D2-="Never Added",YEAR(TODAY())-C2,IF(D2="Partially Added",YEAR(TODAY())-C2,E2-C2)). Represents the number of years between the earliest verified request and  either the current year for undelivered features of the year the feature was added for late additions.</t>
  </si>
  <si>
    <t>Adding this feature would meaningfully improve the simulation experience but would not fundamentally change how the game functions.</t>
  </si>
  <si>
    <t>Adding this feature would improve the experience but has limited impact on the depth of the simulations.</t>
  </si>
  <si>
    <t>SECTION 7: EXCLUSIONS</t>
  </si>
  <si>
    <t>Excluded Item</t>
  </si>
  <si>
    <t>Reason for Exclusion</t>
  </si>
  <si>
    <t>Creator Kits</t>
  </si>
  <si>
    <t>Holiday Celebration Pack</t>
  </si>
  <si>
    <t>DLC Bundles</t>
  </si>
  <si>
    <t>Sims 3 Store Premium Worlds</t>
  </si>
  <si>
    <t>Base Game (cost calculations)</t>
  </si>
  <si>
    <t>Free Base Game Updates</t>
  </si>
  <si>
    <t>Designed by community creators rather than EA's internal team. Do not represent EA's direct content strategy decisions.</t>
  </si>
  <si>
    <t>A free promotional release distributed annually as a marketing tool. Not a commercial content decision. Contains exclusively aesthetic content.</t>
  </si>
  <si>
    <t>Promotional packages grouping existing paxks at discounted prices. Including item would result in double counting content already recorded individually.</t>
  </si>
  <si>
    <t>Sold through a separate virtual currency storefront using SimsPoints rather than direct USD pricing. Represents a different monetization mechanism incompatible with the standard USD pricing model used across all other titkes in this comparision.</t>
  </si>
  <si>
    <t>Both The Sims 3 and The Sims 4 base games are now available for free. Base gane prices are recorded separately and included in Total Cost to Own figures at original launch prices for completeness but are not included in DLC cost totals.</t>
  </si>
  <si>
    <t>Patches and free updates are not paid content and therefore fall outside the scope of this DLC content strategy analysis. They are however referenced in the Feature &amp; Cost Comparison sheet to distinguish between what EA delivered for free vs what required paid purchases.</t>
  </si>
  <si>
    <t>The Sims 4 base game as it exists in March 2026 following all free updates and patches. Does not include any paid DLC content.</t>
  </si>
  <si>
    <t>Year</t>
  </si>
  <si>
    <t>Aesthetic Count</t>
  </si>
  <si>
    <t>Simulation-Rich Count</t>
  </si>
  <si>
    <t>Total Packs</t>
  </si>
  <si>
    <t>% Aesthetic</t>
  </si>
  <si>
    <t>% Simulation-Rich</t>
  </si>
  <si>
    <t>Expansion Pack Count</t>
  </si>
  <si>
    <t>Game Pack Count</t>
  </si>
  <si>
    <t>Stuff Pack Count</t>
  </si>
  <si>
    <t>Kit Count</t>
  </si>
  <si>
    <t>Total Aesthetic Retail Value</t>
  </si>
  <si>
    <t>Total Simulation-Rich Retail Value</t>
  </si>
  <si>
    <t>Cumulative Aesthetic Retail Value</t>
  </si>
  <si>
    <t>Cumulative Simulation-Rich Retail Value</t>
  </si>
  <si>
    <t>Total Kit Retail Value</t>
  </si>
  <si>
    <t>TOTALS</t>
  </si>
  <si>
    <t xml:space="preserve">Pack Type         </t>
  </si>
  <si>
    <t>Total Packs Released</t>
  </si>
  <si>
    <t>Average Price Per Pack</t>
  </si>
  <si>
    <t>% of Total Packs</t>
  </si>
  <si>
    <t>% of Total Retail Value</t>
  </si>
  <si>
    <t>Total Retail Value (Launch Prices)</t>
  </si>
  <si>
    <t>SECTION 8: ANALYSIS DEFINITIONS</t>
  </si>
  <si>
    <t>Cumulative Retail Value</t>
  </si>
  <si>
    <t>Kit Retail Value</t>
  </si>
  <si>
    <t>SECTION 9: LIMITATIONS</t>
  </si>
  <si>
    <t>Limitation</t>
  </si>
  <si>
    <t>Explanation</t>
  </si>
  <si>
    <t>No actual sales data</t>
  </si>
  <si>
    <t>Classification subjectivity</t>
  </si>
  <si>
    <t>Competitor data accuracy</t>
  </si>
  <si>
    <t>Historical pricing</t>
  </si>
  <si>
    <t>A running total that keeps adding each year's value to the previous year's total. It shows the  overall picture across the entire decade rather than one year at a time.</t>
  </si>
  <si>
    <t>The combined launch price of all Kits released in a given year. Isolated separately because Kits were introduced in 2021 as a new product type and represent the most concentrated source of aesthetic content in the dataset. Their isolation allows the impact of their introduction to be measures independently.</t>
  </si>
  <si>
    <t>EA does not publicly disclose unit sales figures for individual DLC packs. All retail value figures represent combined launch prices only, not actual revenue earned by EA.</t>
  </si>
  <si>
    <t>Some packs were difficult to classify as Aesthetic or Simulation-Rich. These judgement calls are explained in the Project Report methodology.</t>
  </si>
  <si>
    <t>inZOI and Paralives are not fully released yet. Their features may change by the time they launch completely.</t>
  </si>
  <si>
    <t>Packs prices were researched from The Sims Wiki, EA Store, Reddit, and gaming news sites. Older prices may not be perfectly accurate if sources have changed.</t>
  </si>
  <si>
    <t>The request dates recorded are based on the oldest sources found during research. Players may have been asking for these features even earlier than what is documented here.</t>
  </si>
  <si>
    <t>Community/ Fan request dates</t>
  </si>
  <si>
    <t>Grand Total</t>
  </si>
  <si>
    <t>Count of Pack Name</t>
  </si>
  <si>
    <t>Content Category</t>
  </si>
  <si>
    <t>Sum of Launch Price USD</t>
  </si>
  <si>
    <t>Game</t>
  </si>
  <si>
    <t>Base Game Price</t>
  </si>
  <si>
    <t>Total DLC Cost</t>
  </si>
  <si>
    <t>Total Cost To Own</t>
  </si>
  <si>
    <t>DLC Pack Count</t>
  </si>
  <si>
    <t>Availability</t>
  </si>
  <si>
    <t>Driveable Cars</t>
  </si>
  <si>
    <t>World Editor/Create-a-World</t>
  </si>
  <si>
    <t>Adding this feature would fundamentally change how the simulation functioned and would significantly deepen the life simulation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</si>
</sst>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quot;$&quot;#,##0.00"/>
  </numFmts>
  <fonts count="14">
    <font>
      <sz val="12"/>
      <color theme="1"/>
      <name val="Calibri"/>
      <family val="2"/>
      <scheme val="minor"/>
    </font>
    <font>
      <sz val="14"/>
      <color rgb="FF202122"/>
      <name val="Calibri"/>
      <family val="2"/>
      <scheme val="minor"/>
    </font>
    <font>
      <sz val="14"/>
      <color theme="1"/>
      <name val="Calibri"/>
      <family val="2"/>
      <scheme val="minor"/>
    </font>
    <font>
      <i/>
      <sz val="14"/>
      <color rgb="FF202122"/>
      <name val="Arial"/>
      <family val="2"/>
    </font>
    <font>
      <b/>
      <sz val="16"/>
      <color rgb="FF000000"/>
      <name val="Calibri"/>
      <family val="2"/>
      <scheme val="minor"/>
    </font>
    <font>
      <sz val="14"/>
      <color rgb="FF000000"/>
      <name val="Calibri"/>
      <family val="2"/>
      <scheme val="minor"/>
    </font>
    <font>
      <sz val="13"/>
      <color rgb="FF000000"/>
      <name val=".AppleSystemUIFont"/>
    </font>
    <font>
      <b/>
      <sz val="16"/>
      <color theme="1"/>
      <name val="Calibri"/>
      <family val="2"/>
      <scheme val="minor"/>
    </font>
    <font>
      <i/>
      <sz val="14"/>
      <name val="Arial"/>
      <family val="2"/>
    </font>
    <font>
      <b/>
      <sz val="12"/>
      <color theme="1"/>
      <name val="Calibri"/>
      <family val="2"/>
      <scheme val="minor"/>
    </font>
    <font>
      <sz val="12"/>
      <color theme="1"/>
      <name val="Calibri"/>
      <family val="2"/>
      <scheme val="minor"/>
    </font>
    <font>
      <i/>
      <sz val="14"/>
      <color rgb="FF202122"/>
      <name val="Calibri"/>
      <family val="2"/>
      <scheme val="minor"/>
    </font>
    <font>
      <sz val="13"/>
      <color rgb="FF000000"/>
      <name val="Calibri"/>
      <family val="2"/>
      <scheme val="minor"/>
    </font>
    <font>
      <i/>
      <sz val="14"/>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44" fontId="10" fillId="0" borderId="0" applyFont="0" applyFill="0" applyBorder="0" applyAlignment="0" applyProtection="0"/>
  </cellStyleXfs>
  <cellXfs count="48">
    <xf numFmtId="0" fontId="0" fillId="0" borderId="0" xfId="0"/>
    <xf numFmtId="0" fontId="1" fillId="0" borderId="0" xfId="0" applyFont="1"/>
    <xf numFmtId="0" fontId="2" fillId="0" borderId="0" xfId="0" applyFont="1"/>
    <xf numFmtId="0" fontId="4" fillId="0" borderId="0" xfId="0" applyFont="1" applyAlignment="1">
      <alignment horizontal="center"/>
    </xf>
    <xf numFmtId="0" fontId="5" fillId="0" borderId="0" xfId="0" applyFont="1"/>
    <xf numFmtId="2" fontId="4" fillId="0" borderId="0" xfId="0" applyNumberFormat="1" applyFont="1" applyAlignment="1">
      <alignment horizontal="center"/>
    </xf>
    <xf numFmtId="2" fontId="3" fillId="0" borderId="0" xfId="0" applyNumberFormat="1" applyFont="1"/>
    <xf numFmtId="2" fontId="0" fillId="0" borderId="0" xfId="0" applyNumberFormat="1"/>
    <xf numFmtId="0" fontId="0" fillId="0" borderId="0" xfId="0" applyAlignment="1">
      <alignment wrapText="1"/>
    </xf>
    <xf numFmtId="0" fontId="7" fillId="0" borderId="0" xfId="0" applyFont="1" applyAlignment="1">
      <alignment horizontal="center"/>
    </xf>
    <xf numFmtId="14" fontId="5" fillId="0" borderId="0" xfId="0" applyNumberFormat="1" applyFont="1"/>
    <xf numFmtId="14" fontId="4" fillId="0" borderId="0" xfId="0" applyNumberFormat="1" applyFont="1" applyAlignment="1">
      <alignment horizontal="center"/>
    </xf>
    <xf numFmtId="14" fontId="1" fillId="0" borderId="0" xfId="0" applyNumberFormat="1" applyFont="1"/>
    <xf numFmtId="14" fontId="0" fillId="0" borderId="0" xfId="0" applyNumberFormat="1"/>
    <xf numFmtId="2" fontId="8" fillId="0" borderId="0" xfId="0" applyNumberFormat="1" applyFont="1"/>
    <xf numFmtId="14" fontId="2" fillId="0" borderId="0" xfId="0" applyNumberFormat="1" applyFont="1"/>
    <xf numFmtId="2" fontId="2" fillId="0" borderId="0" xfId="0" applyNumberFormat="1" applyFont="1"/>
    <xf numFmtId="1" fontId="4" fillId="0" borderId="0" xfId="0" applyNumberFormat="1" applyFont="1" applyAlignment="1">
      <alignment horizontal="center"/>
    </xf>
    <xf numFmtId="1" fontId="1" fillId="0" borderId="0" xfId="0" applyNumberFormat="1" applyFont="1"/>
    <xf numFmtId="1" fontId="0" fillId="0" borderId="0" xfId="0" applyNumberFormat="1"/>
    <xf numFmtId="0" fontId="9" fillId="0" borderId="0" xfId="0" applyFont="1" applyAlignment="1">
      <alignment horizontal="center"/>
    </xf>
    <xf numFmtId="0" fontId="9" fillId="0" borderId="0" xfId="0" applyFont="1"/>
    <xf numFmtId="164" fontId="4" fillId="0" borderId="0" xfId="0" applyNumberFormat="1" applyFont="1" applyAlignment="1">
      <alignment horizontal="center"/>
    </xf>
    <xf numFmtId="164" fontId="3" fillId="0" borderId="0" xfId="0" applyNumberFormat="1" applyFont="1"/>
    <xf numFmtId="164" fontId="6" fillId="0" borderId="0" xfId="0" applyNumberFormat="1" applyFont="1"/>
    <xf numFmtId="164" fontId="5" fillId="0" borderId="0" xfId="0" applyNumberFormat="1" applyFont="1"/>
    <xf numFmtId="164" fontId="2" fillId="0" borderId="0" xfId="0" applyNumberFormat="1" applyFont="1"/>
    <xf numFmtId="164" fontId="0" fillId="0" borderId="0" xfId="0" applyNumberFormat="1"/>
    <xf numFmtId="8" fontId="9" fillId="0" borderId="0" xfId="0" applyNumberFormat="1" applyFont="1"/>
    <xf numFmtId="6" fontId="9" fillId="0" borderId="0" xfId="0" applyNumberFormat="1" applyFont="1"/>
    <xf numFmtId="0" fontId="9" fillId="3" borderId="0" xfId="0" applyFont="1" applyFill="1" applyAlignment="1">
      <alignment wrapText="1"/>
    </xf>
    <xf numFmtId="0" fontId="9" fillId="2" borderId="0" xfId="0" applyFont="1" applyFill="1" applyAlignment="1">
      <alignment wrapText="1"/>
    </xf>
    <xf numFmtId="10" fontId="0" fillId="0" borderId="0" xfId="0" applyNumberFormat="1"/>
    <xf numFmtId="164" fontId="9" fillId="0" borderId="0" xfId="0" applyNumberFormat="1" applyFont="1" applyAlignment="1">
      <alignment horizontal="center"/>
    </xf>
    <xf numFmtId="10" fontId="9" fillId="0" borderId="0" xfId="0" applyNumberFormat="1" applyFont="1"/>
    <xf numFmtId="164" fontId="9" fillId="0" borderId="0" xfId="0" applyNumberFormat="1" applyFont="1"/>
    <xf numFmtId="164" fontId="9" fillId="0" borderId="0" xfId="1" applyNumberFormat="1" applyFont="1" applyAlignment="1">
      <alignment horizontal="center"/>
    </xf>
    <xf numFmtId="164" fontId="0" fillId="0" borderId="0" xfId="1" applyNumberFormat="1" applyFont="1"/>
    <xf numFmtId="164" fontId="9" fillId="0" borderId="0" xfId="1" applyNumberFormat="1" applyFont="1"/>
    <xf numFmtId="10" fontId="9" fillId="0" borderId="0" xfId="0" applyNumberFormat="1" applyFont="1" applyAlignment="1">
      <alignment horizontal="center"/>
    </xf>
    <xf numFmtId="0" fontId="0" fillId="0" borderId="0" xfId="0" pivotButton="1"/>
    <xf numFmtId="1" fontId="9" fillId="0" borderId="0" xfId="0" applyNumberFormat="1" applyFont="1" applyAlignment="1">
      <alignment horizontal="center"/>
    </xf>
    <xf numFmtId="0" fontId="0" fillId="4" borderId="0" xfId="0" applyFill="1"/>
    <xf numFmtId="0" fontId="0" fillId="5" borderId="0" xfId="0" applyFill="1"/>
    <xf numFmtId="164" fontId="11" fillId="0" borderId="0" xfId="0" applyNumberFormat="1" applyFont="1"/>
    <xf numFmtId="164" fontId="12" fillId="0" borderId="0" xfId="0" applyNumberFormat="1" applyFont="1"/>
    <xf numFmtId="2" fontId="11" fillId="0" borderId="0" xfId="0" applyNumberFormat="1" applyFont="1"/>
    <xf numFmtId="2" fontId="13" fillId="0" borderId="0" xfId="0" applyNumberFormat="1" applyFont="1"/>
  </cellXfs>
  <cellStyles count="2">
    <cellStyle name="Currency" xfId="1" builtinId="4"/>
    <cellStyle name="Normal" xfId="0" builtinId="0"/>
  </cellStyles>
  <dxfs count="9">
    <dxf>
      <fill>
        <patternFill>
          <bgColor theme="9" tint="0.39994506668294322"/>
        </patternFill>
      </fill>
    </dxf>
    <dxf>
      <fill>
        <patternFill>
          <bgColor rgb="FFFF8585"/>
        </patternFill>
      </fill>
    </dxf>
    <dxf>
      <fill>
        <patternFill>
          <bgColor theme="7" tint="0.599963377788628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s>
  <tableStyles count="0" defaultTableStyle="TableStyleMedium2" defaultPivotStyle="PivotStyleLight16"/>
  <colors>
    <mruColors>
      <color rgb="FFFF8585"/>
      <color rgb="FFFF6969"/>
      <color rgb="FFFF8181"/>
      <color rgb="FFF97373"/>
      <color rgb="FFFF6161"/>
      <color rgb="FFFF8F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15</xdr:col>
      <xdr:colOff>175260</xdr:colOff>
      <xdr:row>0</xdr:row>
      <xdr:rowOff>22861</xdr:rowOff>
    </xdr:from>
    <xdr:to>
      <xdr:col>17</xdr:col>
      <xdr:colOff>662940</xdr:colOff>
      <xdr:row>8</xdr:row>
      <xdr:rowOff>182881</xdr:rowOff>
    </xdr:to>
    <mc:AlternateContent xmlns:mc="http://schemas.openxmlformats.org/markup-compatibility/2006" xmlns:a14="http://schemas.microsoft.com/office/drawing/2010/main">
      <mc:Choice Requires="a14">
        <xdr:graphicFrame macro="">
          <xdr:nvGraphicFramePr>
            <xdr:cNvPr id="2" name="Content Category">
              <a:extLst>
                <a:ext uri="{FF2B5EF4-FFF2-40B4-BE49-F238E27FC236}">
                  <a16:creationId xmlns:a16="http://schemas.microsoft.com/office/drawing/2014/main" id="{CE3BB56D-F750-368B-35C8-5700EAB72097}"/>
                </a:ext>
              </a:extLst>
            </xdr:cNvPr>
            <xdr:cNvGraphicFramePr/>
          </xdr:nvGraphicFramePr>
          <xdr:xfrm>
            <a:off x="0" y="0"/>
            <a:ext cx="0" cy="0"/>
          </xdr:xfrm>
          <a:graphic>
            <a:graphicData uri="http://schemas.microsoft.com/office/drawing/2010/slicer">
              <sle:slicer xmlns:sle="http://schemas.microsoft.com/office/drawing/2010/slicer" name="Content Category"/>
            </a:graphicData>
          </a:graphic>
        </xdr:graphicFrame>
      </mc:Choice>
      <mc:Fallback xmlns="">
        <xdr:sp macro="" textlink="">
          <xdr:nvSpPr>
            <xdr:cNvPr id="0" name=""/>
            <xdr:cNvSpPr>
              <a:spLocks noTextEdit="1"/>
            </xdr:cNvSpPr>
          </xdr:nvSpPr>
          <xdr:spPr>
            <a:xfrm>
              <a:off x="16375380" y="22861"/>
              <a:ext cx="1828800"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06.525512615743" createdVersion="8" refreshedVersion="8" minRefreshableVersion="3" recordCount="98" xr:uid="{36FF59F5-3F50-4B56-9F33-1F6FF5E040E8}">
  <cacheSource type="worksheet">
    <worksheetSource ref="A1:H99" sheet="DLC Master Log"/>
  </cacheSource>
  <cacheFields count="8">
    <cacheField name="Pack Name" numFmtId="0">
      <sharedItems count="98">
        <s v="Get to Work"/>
        <s v="Get Together"/>
        <s v="City Living"/>
        <s v="Cats &amp; Dogs"/>
        <s v="Seasons"/>
        <s v="Get Famous"/>
        <s v="Island Living"/>
        <s v="Discover University"/>
        <s v="Eco Lifestyle"/>
        <s v="Snowy Escape"/>
        <s v="Cottage Living"/>
        <s v="High School Years"/>
        <s v="Growing Together"/>
        <s v="Horse Ranch"/>
        <s v="For Rent"/>
        <s v="Lovestruck"/>
        <s v="Life &amp; Death"/>
        <s v="Businesses &amp; Hobbies"/>
        <s v="Enchanted by Nature"/>
        <s v="Adventure Awaits"/>
        <s v="Royalty &amp; Legacy"/>
        <s v="Outdoor Retreat"/>
        <s v="Spa Day"/>
        <s v="Dine Out"/>
        <s v="Vampires"/>
        <s v="Parenthood"/>
        <s v="Jungle Adventure"/>
        <s v="StrangerVille"/>
        <s v="Realm of Magic"/>
        <s v="Star Wars: Journey to Batuu"/>
        <s v="Dream Home Decorator"/>
        <s v="My Wedding Stories"/>
        <s v="Werewolves"/>
        <s v="Luxury Party Stuff"/>
        <s v="Perfect Patio Stuff"/>
        <s v="Cool Kitchen Stuff"/>
        <s v="Spooky Stuff"/>
        <s v="Movie Hangout Stuff"/>
        <s v="Romantic Garden Stuff"/>
        <s v="Kids Room Stuff"/>
        <s v="Backyard Stuff"/>
        <s v="Vintage Glamour Stuff"/>
        <s v="Bowling Night Stuff"/>
        <s v="Fitness Stuff"/>
        <s v="Toddler Stuff"/>
        <s v="Laundry Day Stuff"/>
        <s v="My First Pet Stuff"/>
        <s v="Moschino Stuff"/>
        <s v="Tiny Living Stuff"/>
        <s v="Nifty Knitting Stuff"/>
        <s v="Paranormal Stuff"/>
        <s v="Home Chef Hustle Stuff"/>
        <s v="Crystal Creations Stuff"/>
        <s v="Throwback Fit"/>
        <s v="Country Kitchen Kit"/>
        <s v="Bust the Dust Kit"/>
        <s v="Courtyard Oasis Kit"/>
        <s v="Industrial Loft Kit"/>
        <s v="Fashion Street Kit"/>
        <s v="Incheon Arrivals Kit"/>
        <s v="Blooming Rooms Kit"/>
        <s v="Modern Menswear Kit"/>
        <s v="Carnaval Streetwear Kit"/>
        <s v="Décor to the Max Kit"/>
        <s v="Moonlight Chic Kit"/>
        <s v="Little Campers Kit"/>
        <s v="First Fits Kit"/>
        <s v="Desert Luxe Kit"/>
        <s v="Pastel Pop Kit"/>
        <s v="Everyday Clutter Kit"/>
        <s v="Simtimates Collection Kit"/>
        <s v="Bathroom Clutter Kit"/>
        <s v="Greenhouse Haven Kit"/>
        <s v="Basement Treasures Kit"/>
        <s v="Grunge Revival Kit"/>
        <s v="Book Nook Kit"/>
        <s v="Poolside Splash Kit"/>
        <s v="Modern Luxe Kit"/>
        <s v="Castle Estate Kit"/>
        <s v="Goth Galore Kit"/>
        <s v="Urban Homage Kit"/>
        <s v="Party Essentials Kit"/>
        <s v="Riviera Retreat Kit"/>
        <s v="Cozy Bistro Kit"/>
        <s v="Artist Studio Kit"/>
        <s v="Storybook Nursery Kit"/>
        <s v="Comfy Gamer Kit"/>
        <s v="Secret Sanctuary Kit"/>
        <s v="Casanova Cave Kit"/>
        <s v="Kitchen Clutter Kit"/>
        <s v="Restoration Workshop Kit"/>
        <s v="The Golden Years Kit"/>
        <s v="Autumn Apparel Kit"/>
        <s v="SpongeBob’s House Kit"/>
        <s v="SpongeBob Kid’s Room Kit"/>
        <s v="Tea Time Solarium Kit"/>
        <s v="Silver Screen Kit"/>
        <s v="Wonderland Playroom Kit"/>
      </sharedItems>
    </cacheField>
    <cacheField name="Pack Type " numFmtId="0">
      <sharedItems count="4">
        <s v="Expansion Pack"/>
        <s v="Game Pack"/>
        <s v="Stuff Pack"/>
        <s v="Kit"/>
      </sharedItems>
    </cacheField>
    <cacheField name="Release Date" numFmtId="14">
      <sharedItems containsSemiMixedTypes="0" containsNonDate="0" containsDate="1" containsString="0" minDate="2015-01-13T00:00:00" maxDate="2026-10-13T00:00:00"/>
    </cacheField>
    <cacheField name="Release Year" numFmtId="1">
      <sharedItems containsSemiMixedTypes="0" containsString="0" containsNumber="1" containsInteger="1" minValue="2015" maxValue="2026" count="12">
        <n v="2015"/>
        <n v="2016"/>
        <n v="2017"/>
        <n v="2018"/>
        <n v="2019"/>
        <n v="2020"/>
        <n v="2021"/>
        <n v="2022"/>
        <n v="2023"/>
        <n v="2024"/>
        <n v="2025"/>
        <n v="2026"/>
      </sharedItems>
    </cacheField>
    <cacheField name="Launch Price USD" numFmtId="164">
      <sharedItems containsSemiMixedTypes="0" containsString="0" containsNumber="1" minValue="4.99" maxValue="39.99"/>
    </cacheField>
    <cacheField name="Currently Free?" numFmtId="2">
      <sharedItems/>
    </cacheField>
    <cacheField name="Content Category" numFmtId="0">
      <sharedItems count="2">
        <s v="Simulation-Rich"/>
        <s v="Aesthetic"/>
      </sharedItems>
    </cacheField>
    <cacheField name="Primary Impact " numFmtId="0">
      <sharedItems/>
    </cacheField>
  </cacheFields>
  <extLst>
    <ext xmlns:x14="http://schemas.microsoft.com/office/spreadsheetml/2009/9/main" uri="{725AE2AE-9491-48be-B2B4-4EB974FC3084}">
      <x14:pivotCacheDefinition pivotCacheId="180545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x v="0"/>
    <x v="0"/>
    <d v="2015-03-31T00:00:00"/>
    <x v="0"/>
    <n v="39.99"/>
    <s v="No"/>
    <x v="0"/>
    <s v="Active Careers &amp; Aliens (Major system change)."/>
  </r>
  <r>
    <x v="1"/>
    <x v="0"/>
    <d v="2015-12-08T00:00:00"/>
    <x v="0"/>
    <n v="39.99"/>
    <s v="No"/>
    <x v="0"/>
    <s v="Club System (Massive social engine upgrade)."/>
  </r>
  <r>
    <x v="2"/>
    <x v="0"/>
    <d v="2016-11-01T00:00:00"/>
    <x v="1"/>
    <n v="39.99"/>
    <s v="No"/>
    <x v="0"/>
    <s v="Apartments (System) + Culture/Festivals (Aesthetic)."/>
  </r>
  <r>
    <x v="3"/>
    <x v="0"/>
    <d v="2017-11-10T00:00:00"/>
    <x v="2"/>
    <n v="39.99"/>
    <s v="No"/>
    <x v="0"/>
    <s v="Entirely new AI for pets and Vet career."/>
  </r>
  <r>
    <x v="4"/>
    <x v="0"/>
    <d v="2018-06-22T00:00:00"/>
    <x v="3"/>
    <n v="39.99"/>
    <s v="No"/>
    <x v="0"/>
    <s v="Global weather and calendar (The ultimate &quot;Life&quot; pack)."/>
  </r>
  <r>
    <x v="5"/>
    <x v="0"/>
    <d v="2018-11-16T00:00:00"/>
    <x v="3"/>
    <n v="39.99"/>
    <s v="No"/>
    <x v="0"/>
    <s v="Fame/Reputation system + tons of &quot;lifestyle&quot; decor."/>
  </r>
  <r>
    <x v="6"/>
    <x v="0"/>
    <d v="2019-06-21T00:00:00"/>
    <x v="4"/>
    <n v="39.99"/>
    <s v="No"/>
    <x v="0"/>
    <s v="Mostly &quot;vacation vibes&quot; and world-building; weak gameplay."/>
  </r>
  <r>
    <x v="7"/>
    <x v="0"/>
    <d v="2019-11-15T00:00:00"/>
    <x v="4"/>
    <n v="39.99"/>
    <s v="No"/>
    <x v="0"/>
    <s v="Education system and degree-based career paths."/>
  </r>
  <r>
    <x v="8"/>
    <x v="0"/>
    <d v="2020-06-05T00:00:00"/>
    <x v="5"/>
    <n v="39.99"/>
    <s v="No"/>
    <x v="0"/>
    <s v="Neighborhood Action Plans (Gameplay) + Crafting (Aesthetic)."/>
  </r>
  <r>
    <x v="9"/>
    <x v="0"/>
    <d v="2020-11-13T00:00:00"/>
    <x v="5"/>
    <n v="39.99"/>
    <s v="No"/>
    <x v="0"/>
    <s v="Lifestyles/Sentiments (Light) + heavy focus on &quot;vibe&quot; items."/>
  </r>
  <r>
    <x v="10"/>
    <x v="0"/>
    <d v="2021-07-22T00:00:00"/>
    <x v="6"/>
    <n v="39.99"/>
    <s v="No"/>
    <x v="0"/>
    <s v="Farming/Simple Living (System) + Country Decor."/>
  </r>
  <r>
    <x v="11"/>
    <x v="0"/>
    <d v="2022-07-28T00:00:00"/>
    <x v="7"/>
    <n v="39.99"/>
    <s v="No"/>
    <x v="0"/>
    <s v="Active High School (System) + Heavy focus on &quot;Trendi&quot; (Lifestyle)."/>
  </r>
  <r>
    <x v="12"/>
    <x v="0"/>
    <d v="2023-03-16T00:00:00"/>
    <x v="8"/>
    <n v="39.99"/>
    <s v="No"/>
    <x v="0"/>
    <s v="Family Dynamics &amp; Milestones (Deepens &quot;Life&quot; sim)."/>
  </r>
  <r>
    <x v="13"/>
    <x v="0"/>
    <d v="2023-07-20T00:00:00"/>
    <x v="8"/>
    <n v="39.99"/>
    <s v="No"/>
    <x v="0"/>
    <s v="Focuses on Horses as &quot;collectibles&quot; and ranch aesthetic."/>
  </r>
  <r>
    <x v="14"/>
    <x v="0"/>
    <d v="2023-12-07T00:00:00"/>
    <x v="8"/>
    <n v="39.99"/>
    <s v="No"/>
    <x v="0"/>
    <s v="Multi-unit residential system (Core engine update)."/>
  </r>
  <r>
    <x v="15"/>
    <x v="0"/>
    <d v="2024-07-25T00:00:00"/>
    <x v="9"/>
    <n v="39.99"/>
    <s v="No"/>
    <x v="0"/>
    <s v="Dating App/Attraction (System) + &quot;Romantic&quot; items."/>
  </r>
  <r>
    <x v="16"/>
    <x v="0"/>
    <d v="2024-10-31T00:00:00"/>
    <x v="9"/>
    <n v="39.99"/>
    <s v="No"/>
    <x v="0"/>
    <s v="Ghost overhaul, Bucket Lists, and Grim Reaper career."/>
  </r>
  <r>
    <x v="17"/>
    <x v="0"/>
    <d v="2025-03-06T00:00:00"/>
    <x v="10"/>
    <n v="39.99"/>
    <s v="No"/>
    <x v="0"/>
    <s v="Small business ownership and hobby-based skills."/>
  </r>
  <r>
    <x v="18"/>
    <x v="0"/>
    <d v="2025-07-10T00:00:00"/>
    <x v="10"/>
    <n v="39.99"/>
    <s v="No"/>
    <x v="0"/>
    <s v="Added Fairies (Gameplay) heavy focus on &quot;aesthetic&quot; foraging and off-grid &quot;vibes&quot;"/>
  </r>
  <r>
    <x v="19"/>
    <x v="0"/>
    <d v="2025-10-02T00:00:00"/>
    <x v="10"/>
    <n v="39.99"/>
    <s v="No"/>
    <x v="0"/>
    <s v="Vacation world and exploration &quot;vibes&quot;"/>
  </r>
  <r>
    <x v="20"/>
    <x v="0"/>
    <d v="2026-10-12T00:00:00"/>
    <x v="11"/>
    <n v="39.99"/>
    <s v="No"/>
    <x v="0"/>
    <s v="Generational gameplay, family lineage. Inheritance, heir mechanics"/>
  </r>
  <r>
    <x v="21"/>
    <x v="1"/>
    <d v="2015-01-13T00:00:00"/>
    <x v="0"/>
    <n v="19.989999999999998"/>
    <s v="No"/>
    <x v="0"/>
    <s v="Herbalism skill and vacation system."/>
  </r>
  <r>
    <x v="22"/>
    <x v="1"/>
    <d v="2015-07-14T00:00:00"/>
    <x v="0"/>
    <n v="19.989999999999998"/>
    <s v="No"/>
    <x v="1"/>
    <s v="Wellness is a minor skill; mostly focused on &quot;Spa&quot; decor."/>
  </r>
  <r>
    <x v="23"/>
    <x v="1"/>
    <d v="2016-06-07T00:00:00"/>
    <x v="1"/>
    <n v="19.989999999999998"/>
    <s v="No"/>
    <x v="0"/>
    <s v="Restaurant management system (major engine layer)."/>
  </r>
  <r>
    <x v="24"/>
    <x v="1"/>
    <d v="2017-01-24T00:00:00"/>
    <x v="2"/>
    <n v="19.989999999999998"/>
    <s v="No"/>
    <x v="0"/>
    <s v="Deep power/weakness tree (best supernatural AI)."/>
  </r>
  <r>
    <x v="25"/>
    <x v="1"/>
    <d v="2017-05-30T00:00:00"/>
    <x v="2"/>
    <n v="19.989999999999998"/>
    <s v="No"/>
    <x v="0"/>
    <s v="Character Values &amp; Discipline (core life simulation)."/>
  </r>
  <r>
    <x v="26"/>
    <x v="1"/>
    <d v="2018-02-27T00:00:00"/>
    <x v="3"/>
    <n v="19.989999999999998"/>
    <s v="No"/>
    <x v="0"/>
    <s v="Archaeology system + huge focus on &quot;vibe&quot; items."/>
  </r>
  <r>
    <x v="27"/>
    <x v="1"/>
    <d v="2019-02-26T00:00:00"/>
    <x v="4"/>
    <n v="19.989999999999998"/>
    <s v="No"/>
    <x v="0"/>
    <s v="Linear story/quest system + Military career."/>
  </r>
  <r>
    <x v="28"/>
    <x v="1"/>
    <d v="2019-09-10T00:00:00"/>
    <x v="4"/>
    <n v="19.989999999999998"/>
    <s v="No"/>
    <x v="0"/>
    <s v="Spells and potions systems."/>
  </r>
  <r>
    <x v="29"/>
    <x v="1"/>
    <d v="2020-09-08T00:00:00"/>
    <x v="5"/>
    <n v="19.989999999999998"/>
    <s v="No"/>
    <x v="1"/>
    <s v="Mostly &quot;cosplay&quot; and scenery; gameplay is a simple menu."/>
  </r>
  <r>
    <x v="30"/>
    <x v="1"/>
    <d v="2021-06-01T00:00:00"/>
    <x v="6"/>
    <n v="19.989999999999998"/>
    <s v="No"/>
    <x v="1"/>
    <s v="An &quot;Interior Design&quot; career that is 100% aesthetic focus."/>
  </r>
  <r>
    <x v="31"/>
    <x v="1"/>
    <d v="2022-02-23T00:00:00"/>
    <x v="7"/>
    <n v="19.989999999999998"/>
    <s v="No"/>
    <x v="0"/>
    <s v="Adds a wedding system (buggy) + heavy lifestyle decor."/>
  </r>
  <r>
    <x v="32"/>
    <x v="1"/>
    <d v="2022-06-16T00:00:00"/>
    <x v="7"/>
    <n v="19.989999999999998"/>
    <s v="No"/>
    <x v="0"/>
    <s v="Complex Temperament &amp; Ability systems."/>
  </r>
  <r>
    <x v="33"/>
    <x v="2"/>
    <d v="2015-05-19T00:00:00"/>
    <x v="0"/>
    <n v="9.99"/>
    <s v="No"/>
    <x v="1"/>
    <s v="High-end furniture and a buffet table."/>
  </r>
  <r>
    <x v="34"/>
    <x v="2"/>
    <d v="2015-06-16T00:00:00"/>
    <x v="0"/>
    <n v="9.99"/>
    <s v="No"/>
    <x v="1"/>
    <s v="Added Hot Tubs (a major requested functional object) but everything else is 'vibe'"/>
  </r>
  <r>
    <x v="35"/>
    <x v="2"/>
    <d v="2015-08-11T00:00:00"/>
    <x v="0"/>
    <n v="9.99"/>
    <s v="No"/>
    <x v="1"/>
    <s v="Kitchen decor + functional Ice Cream Machine."/>
  </r>
  <r>
    <x v="36"/>
    <x v="2"/>
    <d v="2015-09-29T00:00:00"/>
    <x v="0"/>
    <n v="9.99"/>
    <s v="No"/>
    <x v="1"/>
    <s v="Costumes and pumpkin carving (minor activity)."/>
  </r>
  <r>
    <x v="37"/>
    <x v="2"/>
    <d v="2016-01-12T00:00:00"/>
    <x v="1"/>
    <n v="9.99"/>
    <s v="No"/>
    <x v="1"/>
    <s v="Large projector screens and movie-watching mechanics."/>
  </r>
  <r>
    <x v="38"/>
    <x v="2"/>
    <d v="2016-02-09T00:00:00"/>
    <x v="1"/>
    <n v="9.99"/>
    <s v="No"/>
    <x v="1"/>
    <s v="Wishing Well (gameplay) + heavy focus on landscaping."/>
  </r>
  <r>
    <x v="39"/>
    <x v="2"/>
    <d v="2016-06-28T00:00:00"/>
    <x v="1"/>
    <n v="9.99"/>
    <s v="No"/>
    <x v="1"/>
    <s v="Voidcritter Battle Station (new collectible system)."/>
  </r>
  <r>
    <x v="40"/>
    <x v="2"/>
    <d v="2016-07-19T00:00:00"/>
    <x v="1"/>
    <n v="9.99"/>
    <s v="No"/>
    <x v="1"/>
    <s v="Water slides + patio decor."/>
  </r>
  <r>
    <x v="41"/>
    <x v="2"/>
    <d v="2016-12-06T00:00:00"/>
    <x v="1"/>
    <n v="9.99"/>
    <s v="No"/>
    <x v="1"/>
    <s v="The Butler NPC (adds a &quot;Life&quot; management system)."/>
  </r>
  <r>
    <x v="42"/>
    <x v="2"/>
    <d v="2017-03-29T00:00:00"/>
    <x v="2"/>
    <n v="9.99"/>
    <s v="No"/>
    <x v="0"/>
    <s v="Functional bowling alleys and skills."/>
  </r>
  <r>
    <x v="43"/>
    <x v="2"/>
    <d v="2017-06-20T00:00:00"/>
    <x v="2"/>
    <n v="9.99"/>
    <s v="No"/>
    <x v="0"/>
    <s v="Rock climbing wall + workout videos."/>
  </r>
  <r>
    <x v="44"/>
    <x v="2"/>
    <d v="2017-08-24T00:00:00"/>
    <x v="2"/>
    <n v="9.99"/>
    <s v="No"/>
    <x v="1"/>
    <s v="Mostly play equipment; very light on new mechanics."/>
  </r>
  <r>
    <x v="45"/>
    <x v="2"/>
    <d v="2018-01-16T00:00:00"/>
    <x v="3"/>
    <n v="9.99"/>
    <s v="No"/>
    <x v="0"/>
    <s v="Entire laundry system (The peak of community-voted &quot;Life&quot; gameplay)."/>
  </r>
  <r>
    <x v="46"/>
    <x v="2"/>
    <d v="2018-03-13T00:00:00"/>
    <x v="3"/>
    <n v="9.99"/>
    <s v="No"/>
    <x v="1"/>
    <s v="Small caged pets; widely criticized as &quot;DLC for DLC.&quot;"/>
  </r>
  <r>
    <x v="47"/>
    <x v="2"/>
    <d v="2019-08-13T00:00:00"/>
    <x v="4"/>
    <n v="9.99"/>
    <s v="No"/>
    <x v="1"/>
    <s v="Fashion photography career (Life) + Designer clothes."/>
  </r>
  <r>
    <x v="48"/>
    <x v="2"/>
    <d v="2020-01-21T00:00:00"/>
    <x v="5"/>
    <n v="9.99"/>
    <s v="No"/>
    <x v="0"/>
    <s v="Tiny Home lot perks (Engine/System level change)."/>
  </r>
  <r>
    <x v="49"/>
    <x v="2"/>
    <d v="2020-07-28T00:00:00"/>
    <x v="5"/>
    <n v="9.99"/>
    <s v="No"/>
    <x v="0"/>
    <s v="Knitting skill + Plopsy online store (New mechanic)."/>
  </r>
  <r>
    <x v="50"/>
    <x v="2"/>
    <d v="2021-01-26T00:00:00"/>
    <x v="6"/>
    <n v="9.99"/>
    <s v="No"/>
    <x v="0"/>
    <s v="Haunted House lots + Bonehilda NPC."/>
  </r>
  <r>
    <x v="51"/>
    <x v="2"/>
    <d v="2023-09-28T00:00:00"/>
    <x v="8"/>
    <n v="9.99"/>
    <s v="No"/>
    <x v="1"/>
    <s v="Portable food stands and deep cooking overhaul."/>
  </r>
  <r>
    <x v="52"/>
    <x v="2"/>
    <d v="2024-02-29T00:00:00"/>
    <x v="9"/>
    <n v="9.99"/>
    <s v="No"/>
    <x v="1"/>
    <s v="Gemology system + jewelry-making (Heavy aesthetic)."/>
  </r>
  <r>
    <x v="53"/>
    <x v="3"/>
    <d v="2021-03-02T00:00:00"/>
    <x v="6"/>
    <n v="4.99"/>
    <s v="No"/>
    <x v="1"/>
    <s v="90s Athleisure clothing."/>
  </r>
  <r>
    <x v="54"/>
    <x v="3"/>
    <d v="2021-03-02T00:00:00"/>
    <x v="6"/>
    <n v="4.99"/>
    <s v="No"/>
    <x v="1"/>
    <s v="Rustic kitchen furniture."/>
  </r>
  <r>
    <x v="55"/>
    <x v="3"/>
    <d v="2021-03-02T00:00:00"/>
    <x v="6"/>
    <n v="4.99"/>
    <s v="No"/>
    <x v="0"/>
    <s v="Functional vacuums and dust system."/>
  </r>
  <r>
    <x v="56"/>
    <x v="3"/>
    <d v="2021-05-18T00:00:00"/>
    <x v="6"/>
    <n v="4.99"/>
    <s v="No"/>
    <x v="1"/>
    <s v="Moroccan-inspired architecture."/>
  </r>
  <r>
    <x v="57"/>
    <x v="3"/>
    <d v="2021-08-26T00:00:00"/>
    <x v="6"/>
    <n v="4.99"/>
    <s v="No"/>
    <x v="1"/>
    <s v="Raw, repurposed furniture."/>
  </r>
  <r>
    <x v="58"/>
    <x v="3"/>
    <d v="2021-10-05T00:00:00"/>
    <x v="6"/>
    <n v="4.99"/>
    <s v="No"/>
    <x v="1"/>
    <s v="Mumbai-inspired clothing."/>
  </r>
  <r>
    <x v="59"/>
    <x v="3"/>
    <d v="2021-10-05T00:00:00"/>
    <x v="6"/>
    <n v="4.99"/>
    <s v="No"/>
    <x v="1"/>
    <s v="Seoul airport fashion."/>
  </r>
  <r>
    <x v="60"/>
    <x v="3"/>
    <d v="2021-11-09T00:00:00"/>
    <x v="6"/>
    <n v="4.99"/>
    <s v="No"/>
    <x v="1"/>
    <s v="Indoor plants and botanical decor."/>
  </r>
  <r>
    <x v="61"/>
    <x v="3"/>
    <d v="2021-12-02T00:00:00"/>
    <x v="6"/>
    <n v="4.99"/>
    <s v="No"/>
    <x v="1"/>
    <s v="Experimental male fashion."/>
  </r>
  <r>
    <x v="62"/>
    <x v="3"/>
    <d v="2022-02-03T00:00:00"/>
    <x v="7"/>
    <n v="4.99"/>
    <s v="No"/>
    <x v="1"/>
    <s v="High-energy Brazilian fashion."/>
  </r>
  <r>
    <x v="63"/>
    <x v="3"/>
    <d v="2022-03-21T00:00:00"/>
    <x v="7"/>
    <n v="4.99"/>
    <s v="No"/>
    <x v="1"/>
    <s v="Maximalist home decor."/>
  </r>
  <r>
    <x v="64"/>
    <x v="3"/>
    <d v="2022-05-26T00:00:00"/>
    <x v="7"/>
    <n v="4.99"/>
    <s v="No"/>
    <x v="1"/>
    <s v="Parisian-night-out fashion."/>
  </r>
  <r>
    <x v="65"/>
    <x v="3"/>
    <d v="2022-05-26T00:00:00"/>
    <x v="7"/>
    <n v="4.99"/>
    <s v="No"/>
    <x v="1"/>
    <s v="Backyard camping gear (Visual only)."/>
  </r>
  <r>
    <x v="66"/>
    <x v="3"/>
    <d v="2022-09-01T00:00:00"/>
    <x v="7"/>
    <n v="4.99"/>
    <s v="No"/>
    <x v="1"/>
    <s v="Child-specific clothing."/>
  </r>
  <r>
    <x v="67"/>
    <x v="3"/>
    <d v="2022-09-14T00:00:00"/>
    <x v="7"/>
    <n v="4.99"/>
    <s v="No"/>
    <x v="1"/>
    <s v="Earthy, neutral furniture."/>
  </r>
  <r>
    <x v="68"/>
    <x v="3"/>
    <d v="2022-11-10T00:00:00"/>
    <x v="7"/>
    <n v="4.99"/>
    <s v="No"/>
    <x v="1"/>
    <s v="60s/70s inspired &quot;vibe&quot; items."/>
  </r>
  <r>
    <x v="69"/>
    <x v="3"/>
    <d v="2022-11-10T00:00:00"/>
    <x v="7"/>
    <n v="4.99"/>
    <s v="No"/>
    <x v="1"/>
    <s v="Small &quot;used&quot; items for realism."/>
  </r>
  <r>
    <x v="70"/>
    <x v="3"/>
    <d v="2023-01-19T00:00:00"/>
    <x v="8"/>
    <n v="4.99"/>
    <s v="No"/>
    <x v="1"/>
    <s v="Underwear and sleepwear."/>
  </r>
  <r>
    <x v="71"/>
    <x v="3"/>
    <d v="2023-01-19T00:00:00"/>
    <x v="8"/>
    <n v="4.99"/>
    <s v="No"/>
    <x v="1"/>
    <s v="Toothbrushes, soaps, etc."/>
  </r>
  <r>
    <x v="72"/>
    <x v="3"/>
    <d v="2023-04-20T00:00:00"/>
    <x v="8"/>
    <n v="4.99"/>
    <s v="No"/>
    <x v="1"/>
    <s v="Gardening-themed glass decor."/>
  </r>
  <r>
    <x v="73"/>
    <x v="3"/>
    <d v="2023-04-20T00:00:00"/>
    <x v="8"/>
    <n v="4.99"/>
    <s v="No"/>
    <x v="1"/>
    <s v="Second-hand, dusty furniture."/>
  </r>
  <r>
    <x v="74"/>
    <x v="3"/>
    <d v="2023-06-01T00:00:00"/>
    <x v="8"/>
    <n v="4.99"/>
    <s v="No"/>
    <x v="1"/>
    <s v="Rebellious, worn-out fashion."/>
  </r>
  <r>
    <x v="75"/>
    <x v="3"/>
    <d v="2023-06-01T00:00:00"/>
    <x v="8"/>
    <n v="4.99"/>
    <s v="No"/>
    <x v="1"/>
    <s v="Cozy reading corner furniture."/>
  </r>
  <r>
    <x v="76"/>
    <x v="3"/>
    <d v="2023-09-07T00:00:00"/>
    <x v="8"/>
    <n v="4.99"/>
    <s v="No"/>
    <x v="1"/>
    <s v="Swimwear and pool accessories."/>
  </r>
  <r>
    <x v="77"/>
    <x v="3"/>
    <d v="2023-09-07T00:00:00"/>
    <x v="8"/>
    <n v="4.99"/>
    <s v="No"/>
    <x v="1"/>
    <s v="Opulent, high-end furniture."/>
  </r>
  <r>
    <x v="78"/>
    <x v="3"/>
    <d v="2024-01-18T00:00:00"/>
    <x v="9"/>
    <n v="4.99"/>
    <s v="No"/>
    <x v="1"/>
    <s v="Medieval architecture."/>
  </r>
  <r>
    <x v="79"/>
    <x v="3"/>
    <d v="2024-01-18T00:00:00"/>
    <x v="9"/>
    <n v="4.99"/>
    <s v="No"/>
    <x v="1"/>
    <s v="Modern goth clothing."/>
  </r>
  <r>
    <x v="80"/>
    <x v="3"/>
    <d v="2024-04-18T00:00:00"/>
    <x v="9"/>
    <n v="4.99"/>
    <s v="No"/>
    <x v="1"/>
    <s v="90s/00s London street style."/>
  </r>
  <r>
    <x v="81"/>
    <x v="3"/>
    <d v="2024-04-18T00:00:00"/>
    <x v="9"/>
    <n v="4.99"/>
    <s v="No"/>
    <x v="1"/>
    <s v="Party streamers and disco balls."/>
  </r>
  <r>
    <x v="82"/>
    <x v="3"/>
    <d v="2024-05-30T00:00:00"/>
    <x v="9"/>
    <n v="4.99"/>
    <s v="No"/>
    <x v="1"/>
    <s v="Poolside &quot;Italian coast&quot; furniture."/>
  </r>
  <r>
    <x v="83"/>
    <x v="3"/>
    <d v="2024-05-30T00:00:00"/>
    <x v="9"/>
    <n v="4.99"/>
    <s v="No"/>
    <x v="1"/>
    <s v="Cafe-themed tables and decor."/>
  </r>
  <r>
    <x v="84"/>
    <x v="3"/>
    <d v="2024-09-19T00:00:00"/>
    <x v="9"/>
    <n v="4.99"/>
    <s v="No"/>
    <x v="1"/>
    <s v="Painting supplies and decor."/>
  </r>
  <r>
    <x v="85"/>
    <x v="3"/>
    <d v="2024-09-19T00:00:00"/>
    <x v="9"/>
    <n v="4.99"/>
    <s v="No"/>
    <x v="1"/>
    <s v="Whimsical infant furniture."/>
  </r>
  <r>
    <x v="86"/>
    <x v="3"/>
    <d v="2025-01-16T00:00:00"/>
    <x v="10"/>
    <n v="4.99"/>
    <s v="No"/>
    <x v="1"/>
    <s v="Collaboration with Lilsimsie; gaming setups/clutter."/>
  </r>
  <r>
    <x v="87"/>
    <x v="3"/>
    <d v="2025-01-16T00:00:00"/>
    <x v="10"/>
    <n v="4.99"/>
    <s v="No"/>
    <x v="1"/>
    <s v="Luxury furniture and hidden bookcase doors."/>
  </r>
  <r>
    <x v="88"/>
    <x v="3"/>
    <d v="2025-01-16T00:00:00"/>
    <x v="10"/>
    <n v="4.99"/>
    <s v="No"/>
    <x v="1"/>
    <s v="Masculine &quot;bachelor pad&quot; furniture and fashion."/>
  </r>
  <r>
    <x v="89"/>
    <x v="3"/>
    <d v="2025-05-01T00:00:00"/>
    <x v="10"/>
    <n v="4.99"/>
    <s v="No"/>
    <x v="1"/>
    <s v="High-detail kitchen mess and small items."/>
  </r>
  <r>
    <x v="90"/>
    <x v="3"/>
    <d v="2025-05-01T00:00:00"/>
    <x v="10"/>
    <n v="4.99"/>
    <s v="No"/>
    <x v="0"/>
    <s v="Functional repair benches (Rare Gameplay addition)."/>
  </r>
  <r>
    <x v="91"/>
    <x v="3"/>
    <d v="2025-05-01T00:00:00"/>
    <x v="10"/>
    <n v="4.99"/>
    <s v="No"/>
    <x v="1"/>
    <s v="Clothing and items for Elder Sims."/>
  </r>
  <r>
    <x v="92"/>
    <x v="3"/>
    <d v="2025-10-09T00:00:00"/>
    <x v="10"/>
    <n v="4.99"/>
    <s v="No"/>
    <x v="1"/>
    <s v="Fall-themed fashion assets."/>
  </r>
  <r>
    <x v="93"/>
    <x v="3"/>
    <d v="2025-12-04T00:00:00"/>
    <x v="10"/>
    <n v="6.99"/>
    <s v="No"/>
    <x v="1"/>
    <s v="Licensed Bikini Bottom furniture."/>
  </r>
  <r>
    <x v="94"/>
    <x v="3"/>
    <d v="2025-12-04T00:00:00"/>
    <x v="10"/>
    <n v="6.99"/>
    <s v="No"/>
    <x v="1"/>
    <s v="Licensed character-themed kids' items."/>
  </r>
  <r>
    <x v="95"/>
    <x v="3"/>
    <d v="2026-02-12T00:00:00"/>
    <x v="11"/>
    <n v="4.99"/>
    <s v="No"/>
    <x v="1"/>
    <s v="Decorative build objects only"/>
  </r>
  <r>
    <x v="96"/>
    <x v="3"/>
    <d v="2026-02-12T00:00:00"/>
    <x v="11"/>
    <n v="4.99"/>
    <s v="No"/>
    <x v="1"/>
    <s v="Vintage décor, no gameplay"/>
  </r>
  <r>
    <x v="97"/>
    <x v="3"/>
    <d v="2026-02-26T00:00:00"/>
    <x v="11"/>
    <n v="4.99"/>
    <s v="No"/>
    <x v="1"/>
    <s v="Children's room décor on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93DFEB-9861-4166-9622-32802DB4B49F}"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5:N21" firstHeaderRow="1" firstDataRow="2" firstDataCol="1"/>
  <pivotFields count="8">
    <pivotField compact="0" outline="0" showAll="0" defaultSubtotal="0"/>
    <pivotField axis="axisRow" compact="0" outline="0" showAll="0" defaultSubtotal="0">
      <items count="4">
        <item x="0"/>
        <item x="1"/>
        <item x="3"/>
        <item x="2"/>
      </items>
    </pivotField>
    <pivotField compact="0" numFmtId="14" outline="0" showAll="0" defaultSubtotal="0"/>
    <pivotField axis="axisCol" compact="0" numFmtId="1" outline="0" showAll="0" defaultSubtotal="0">
      <items count="12">
        <item x="0"/>
        <item x="1"/>
        <item x="2"/>
        <item x="3"/>
        <item x="4"/>
        <item x="5"/>
        <item x="6"/>
        <item x="7"/>
        <item x="8"/>
        <item x="9"/>
        <item x="10"/>
        <item x="11"/>
      </items>
    </pivotField>
    <pivotField dataField="1" compact="0" numFmtId="164" outline="0" showAll="0" defaultSubtotal="0"/>
    <pivotField compact="0" outline="0" showAll="0" defaultSubtotal="0"/>
    <pivotField compact="0" outline="0" showAll="0" defaultSubtotal="0"/>
    <pivotField compact="0" outline="0" showAll="0" defaultSubtotal="0"/>
  </pivotFields>
  <rowFields count="1">
    <field x="1"/>
  </rowFields>
  <rowItems count="5">
    <i>
      <x/>
    </i>
    <i>
      <x v="1"/>
    </i>
    <i>
      <x v="2"/>
    </i>
    <i>
      <x v="3"/>
    </i>
    <i t="grand">
      <x/>
    </i>
  </rowItems>
  <colFields count="1">
    <field x="3"/>
  </colFields>
  <colItems count="13">
    <i>
      <x/>
    </i>
    <i>
      <x v="1"/>
    </i>
    <i>
      <x v="2"/>
    </i>
    <i>
      <x v="3"/>
    </i>
    <i>
      <x v="4"/>
    </i>
    <i>
      <x v="5"/>
    </i>
    <i>
      <x v="6"/>
    </i>
    <i>
      <x v="7"/>
    </i>
    <i>
      <x v="8"/>
    </i>
    <i>
      <x v="9"/>
    </i>
    <i>
      <x v="10"/>
    </i>
    <i>
      <x v="11"/>
    </i>
    <i t="grand">
      <x/>
    </i>
  </colItems>
  <dataFields count="1">
    <dataField name="Sum of Launch Price USD" fld="4" baseField="0" baseItem="0" numFmtId="164"/>
  </dataFields>
  <formats count="3">
    <format dxfId="5">
      <pivotArea type="origin" dataOnly="0" labelOnly="1" outline="0" fieldPosition="0"/>
    </format>
    <format dxfId="4">
      <pivotArea field="3" type="button" dataOnly="0" labelOnly="1" outline="0" axis="axisCol" fieldPosition="0"/>
    </format>
    <format dxfId="3">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B48D0C-3E5C-4AFE-93AE-96496880D7D0}"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O10" firstHeaderRow="1" firstDataRow="2" firstDataCol="2"/>
  <pivotFields count="8">
    <pivotField dataField="1" compact="0" outline="0" showAll="0" defaultSubtotal="0">
      <items count="98">
        <item x="19"/>
        <item x="84"/>
        <item x="92"/>
        <item x="40"/>
        <item x="73"/>
        <item x="71"/>
        <item x="60"/>
        <item x="75"/>
        <item x="42"/>
        <item x="17"/>
        <item x="55"/>
        <item x="62"/>
        <item x="88"/>
        <item x="78"/>
        <item x="3"/>
        <item x="2"/>
        <item x="86"/>
        <item x="35"/>
        <item x="10"/>
        <item x="54"/>
        <item x="56"/>
        <item x="83"/>
        <item x="52"/>
        <item x="63"/>
        <item x="67"/>
        <item x="23"/>
        <item x="7"/>
        <item x="30"/>
        <item x="8"/>
        <item x="18"/>
        <item x="69"/>
        <item x="58"/>
        <item x="66"/>
        <item x="43"/>
        <item x="14"/>
        <item x="5"/>
        <item x="0"/>
        <item x="1"/>
        <item x="79"/>
        <item x="72"/>
        <item x="12"/>
        <item x="74"/>
        <item x="11"/>
        <item x="51"/>
        <item x="13"/>
        <item x="59"/>
        <item x="57"/>
        <item x="6"/>
        <item x="26"/>
        <item x="39"/>
        <item x="89"/>
        <item x="45"/>
        <item x="16"/>
        <item x="65"/>
        <item x="15"/>
        <item x="33"/>
        <item x="77"/>
        <item x="61"/>
        <item x="64"/>
        <item x="47"/>
        <item x="37"/>
        <item x="46"/>
        <item x="31"/>
        <item x="49"/>
        <item x="21"/>
        <item x="50"/>
        <item x="25"/>
        <item x="81"/>
        <item x="68"/>
        <item x="34"/>
        <item x="76"/>
        <item x="28"/>
        <item x="90"/>
        <item x="82"/>
        <item x="38"/>
        <item x="20"/>
        <item x="4"/>
        <item x="87"/>
        <item x="96"/>
        <item x="70"/>
        <item x="9"/>
        <item x="22"/>
        <item x="94"/>
        <item x="93"/>
        <item x="36"/>
        <item x="29"/>
        <item x="85"/>
        <item x="27"/>
        <item x="95"/>
        <item x="91"/>
        <item x="53"/>
        <item x="48"/>
        <item x="44"/>
        <item x="80"/>
        <item x="24"/>
        <item x="41"/>
        <item x="32"/>
        <item x="97"/>
      </items>
    </pivotField>
    <pivotField axis="axisRow" compact="0" outline="0" showAll="0" defaultSubtotal="0">
      <items count="4">
        <item x="0"/>
        <item x="1"/>
        <item x="3"/>
        <item x="2"/>
      </items>
    </pivotField>
    <pivotField compact="0" numFmtId="14" outline="0" showAll="0" defaultSubtotal="0"/>
    <pivotField axis="axisCol" compact="0" numFmtId="1" outline="0" showAll="0" defaultSubtotal="0">
      <items count="12">
        <item x="0"/>
        <item x="1"/>
        <item x="2"/>
        <item x="3"/>
        <item x="4"/>
        <item x="5"/>
        <item x="6"/>
        <item x="7"/>
        <item x="8"/>
        <item x="9"/>
        <item x="10"/>
        <item x="11"/>
      </items>
    </pivotField>
    <pivotField compact="0" numFmtId="164" outline="0" showAll="0" defaultSubtotal="0"/>
    <pivotField compact="0" outline="0" showAll="0" defaultSubtotal="0"/>
    <pivotField axis="axisRow" compact="0" outline="0" showAll="0" defaultSubtotal="0">
      <items count="2">
        <item x="1"/>
        <item x="0"/>
      </items>
    </pivotField>
    <pivotField compact="0" outline="0" showAll="0" defaultSubtotal="0"/>
  </pivotFields>
  <rowFields count="2">
    <field x="1"/>
    <field x="6"/>
  </rowFields>
  <rowItems count="8">
    <i>
      <x/>
      <x v="1"/>
    </i>
    <i>
      <x v="1"/>
      <x/>
    </i>
    <i r="1">
      <x v="1"/>
    </i>
    <i>
      <x v="2"/>
      <x/>
    </i>
    <i r="1">
      <x v="1"/>
    </i>
    <i>
      <x v="3"/>
      <x/>
    </i>
    <i r="1">
      <x v="1"/>
    </i>
    <i t="grand">
      <x/>
    </i>
  </rowItems>
  <colFields count="1">
    <field x="3"/>
  </colFields>
  <colItems count="13">
    <i>
      <x/>
    </i>
    <i>
      <x v="1"/>
    </i>
    <i>
      <x v="2"/>
    </i>
    <i>
      <x v="3"/>
    </i>
    <i>
      <x v="4"/>
    </i>
    <i>
      <x v="5"/>
    </i>
    <i>
      <x v="6"/>
    </i>
    <i>
      <x v="7"/>
    </i>
    <i>
      <x v="8"/>
    </i>
    <i>
      <x v="9"/>
    </i>
    <i>
      <x v="10"/>
    </i>
    <i>
      <x v="11"/>
    </i>
    <i t="grand">
      <x/>
    </i>
  </colItems>
  <dataFields count="1">
    <dataField name="Count of Pack Name" fld="0" subtotal="count" baseField="0" baseItem="0"/>
  </dataFields>
  <formats count="3">
    <format dxfId="8">
      <pivotArea type="origin" dataOnly="0" labelOnly="1" outline="0" fieldPosition="0"/>
    </format>
    <format dxfId="7">
      <pivotArea field="3" type="button" dataOnly="0" labelOnly="1" outline="0" axis="axisCol" fieldPosition="0"/>
    </format>
    <format dxfId="6">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Category" xr10:uid="{799AD7F0-592C-49F4-B42B-3F7F2DA5C715}" sourceName="Content Category">
  <pivotTables>
    <pivotTable tabId="14" name="PivotTable3"/>
  </pivotTables>
  <data>
    <tabular pivotCacheId="18054519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 Category" xr10:uid="{07761946-CAA1-4145-9588-CB16020D93DB}" cache="Slicer_Content_Category" caption="Content Category" style="SlicerStyleLight4" rowHeight="2603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8" dT="2026-03-13T17:43:12.58" personId="{00000000-0000-0000-0000-000000000000}" id="{8E73FC86-65A0-4757-9AA1-6F9CFCB84FA8}">
    <text>Debatable as game play was very weak and most features were aesthetic.</text>
  </threadedComment>
  <threadedComment ref="G21" dT="2026-03-13T17:46:33.60" personId="{00000000-0000-0000-0000-000000000000}" id="{E97C0882-0691-48D0-B312-9C22E47759A4}">
    <text>Strong case for ‘hybrid’</text>
  </threadedComment>
  <threadedComment ref="G43" dT="2026-03-13T19:22:30.89" personId="{00000000-0000-0000-0000-000000000000}" id="{1E131B30-758D-470F-9791-26D922E46EB5}">
    <text>Does the butler add significant game play or is it just a bonus?</text>
  </threadedComment>
</ThreadedComments>
</file>

<file path=xl/threadedComments/threadedComment2.xml><?xml version="1.0" encoding="utf-8"?>
<ThreadedComments xmlns="http://schemas.microsoft.com/office/spreadsheetml/2018/threadedcomments" xmlns:x="http://schemas.openxmlformats.org/spreadsheetml/2006/main">
  <threadedComment ref="G8" dT="2026-03-13T17:43:12.58" personId="{00000000-0000-0000-0000-000000000000}" id="{92D2B0A9-B908-48E0-83BF-B9FFF9BDB9FB}">
    <text>Debatable as game play was very weak and most features were aesthetic.</text>
  </threadedComment>
  <threadedComment ref="G21" dT="2026-03-13T17:46:33.60" personId="{00000000-0000-0000-0000-000000000000}" id="{36F57AA9-98D0-4C3B-8EE0-7A24DCD3389E}">
    <text>Strong case for ‘hybrid’</text>
  </threadedComment>
  <threadedComment ref="G43" dT="2026-03-13T19:22:30.89" personId="{00000000-0000-0000-0000-000000000000}" id="{22E3712A-ADAA-4F64-9548-D2D9DCB7D705}">
    <text>Does the butler add significant game play or is it just a bonus?</text>
  </threadedComment>
</ThreadedComments>
</file>

<file path=xl/threadedComments/threadedComment3.xml><?xml version="1.0" encoding="utf-8"?>
<ThreadedComments xmlns="http://schemas.microsoft.com/office/spreadsheetml/2018/threadedcomments" xmlns:x="http://schemas.openxmlformats.org/spreadsheetml/2006/main">
  <threadedComment ref="F2" dT="2026-03-17T18:14:23.27" personId="{00000000-0000-0000-0000-000000000000}" id="{A2E508A1-C324-46AF-9454-B28D7F59AC74}">
    <text>Counts from the year it was first requested to 2026. If added late, it counts from when requested to when it was finally added.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579B9-49E6-4107-B423-024E86E08703}">
  <sheetPr published="0"/>
  <dimension ref="A1:H103"/>
  <sheetViews>
    <sheetView workbookViewId="0">
      <selection activeCell="H1" sqref="H1:H1048576"/>
    </sheetView>
  </sheetViews>
  <sheetFormatPr defaultRowHeight="15.6"/>
  <cols>
    <col min="1" max="1" width="24.69921875" customWidth="1"/>
    <col min="2" max="2" width="19.3984375" customWidth="1"/>
    <col min="3" max="3" width="18.796875" customWidth="1"/>
    <col min="4" max="4" width="18.59765625" customWidth="1"/>
    <col min="5" max="5" width="22" customWidth="1"/>
    <col min="6" max="6" width="19.69921875" customWidth="1"/>
    <col min="7" max="7" width="34.69921875" customWidth="1"/>
    <col min="8" max="8" width="77.796875" customWidth="1"/>
  </cols>
  <sheetData>
    <row r="1" spans="1:8" ht="21">
      <c r="A1" s="3" t="s">
        <v>84</v>
      </c>
      <c r="B1" s="3" t="s">
        <v>85</v>
      </c>
      <c r="C1" s="11" t="s">
        <v>86</v>
      </c>
      <c r="D1" s="17" t="s">
        <v>87</v>
      </c>
      <c r="E1" s="22" t="s">
        <v>192</v>
      </c>
      <c r="F1" s="5" t="s">
        <v>199</v>
      </c>
      <c r="G1" s="3" t="s">
        <v>193</v>
      </c>
      <c r="H1" s="9" t="s">
        <v>110</v>
      </c>
    </row>
    <row r="2" spans="1:8" ht="18">
      <c r="A2" s="1" t="s">
        <v>88</v>
      </c>
      <c r="B2" s="1" t="s">
        <v>210</v>
      </c>
      <c r="C2" s="12">
        <v>42094</v>
      </c>
      <c r="D2" s="18">
        <f>YEAR(C2)</f>
        <v>2015</v>
      </c>
      <c r="E2" s="44">
        <v>39.99</v>
      </c>
      <c r="F2" s="46" t="s">
        <v>186</v>
      </c>
      <c r="G2" s="2" t="s">
        <v>194</v>
      </c>
      <c r="H2" s="2" t="s">
        <v>90</v>
      </c>
    </row>
    <row r="3" spans="1:8" ht="18">
      <c r="A3" s="1" t="s">
        <v>0</v>
      </c>
      <c r="B3" s="1" t="s">
        <v>211</v>
      </c>
      <c r="C3" s="12">
        <v>42346</v>
      </c>
      <c r="D3" s="18">
        <f t="shared" ref="D3:D66" si="0">YEAR(C3)</f>
        <v>2015</v>
      </c>
      <c r="E3" s="44">
        <v>39.99</v>
      </c>
      <c r="F3" s="46" t="s">
        <v>186</v>
      </c>
      <c r="G3" s="2" t="s">
        <v>194</v>
      </c>
      <c r="H3" s="2" t="s">
        <v>91</v>
      </c>
    </row>
    <row r="4" spans="1:8" ht="18">
      <c r="A4" s="1" t="s">
        <v>1</v>
      </c>
      <c r="B4" s="1" t="s">
        <v>211</v>
      </c>
      <c r="C4" s="12">
        <v>42675</v>
      </c>
      <c r="D4" s="18">
        <f t="shared" si="0"/>
        <v>2016</v>
      </c>
      <c r="E4" s="44">
        <v>39.99</v>
      </c>
      <c r="F4" s="46" t="s">
        <v>186</v>
      </c>
      <c r="G4" s="2" t="s">
        <v>194</v>
      </c>
      <c r="H4" s="2" t="s">
        <v>92</v>
      </c>
    </row>
    <row r="5" spans="1:8" ht="18">
      <c r="A5" s="1" t="s">
        <v>2</v>
      </c>
      <c r="B5" s="1" t="s">
        <v>211</v>
      </c>
      <c r="C5" s="12">
        <v>43049</v>
      </c>
      <c r="D5" s="18">
        <f t="shared" si="0"/>
        <v>2017</v>
      </c>
      <c r="E5" s="44">
        <v>39.99</v>
      </c>
      <c r="F5" s="46" t="s">
        <v>186</v>
      </c>
      <c r="G5" s="2" t="s">
        <v>194</v>
      </c>
      <c r="H5" s="2" t="s">
        <v>93</v>
      </c>
    </row>
    <row r="6" spans="1:8" ht="18">
      <c r="A6" s="1" t="s">
        <v>3</v>
      </c>
      <c r="B6" s="1" t="s">
        <v>211</v>
      </c>
      <c r="C6" s="12">
        <v>43273</v>
      </c>
      <c r="D6" s="18">
        <f t="shared" si="0"/>
        <v>2018</v>
      </c>
      <c r="E6" s="44">
        <v>39.99</v>
      </c>
      <c r="F6" s="46" t="s">
        <v>186</v>
      </c>
      <c r="G6" s="2" t="s">
        <v>194</v>
      </c>
      <c r="H6" s="2" t="s">
        <v>94</v>
      </c>
    </row>
    <row r="7" spans="1:8" ht="18">
      <c r="A7" s="1" t="s">
        <v>4</v>
      </c>
      <c r="B7" s="1" t="s">
        <v>211</v>
      </c>
      <c r="C7" s="12">
        <v>43420</v>
      </c>
      <c r="D7" s="18">
        <f t="shared" si="0"/>
        <v>2018</v>
      </c>
      <c r="E7" s="44">
        <v>39.99</v>
      </c>
      <c r="F7" s="46" t="s">
        <v>186</v>
      </c>
      <c r="G7" s="2" t="s">
        <v>194</v>
      </c>
      <c r="H7" s="2" t="s">
        <v>95</v>
      </c>
    </row>
    <row r="8" spans="1:8" ht="18">
      <c r="A8" s="1" t="s">
        <v>5</v>
      </c>
      <c r="B8" s="1" t="s">
        <v>211</v>
      </c>
      <c r="C8" s="12">
        <v>43637</v>
      </c>
      <c r="D8" s="18">
        <f t="shared" si="0"/>
        <v>2019</v>
      </c>
      <c r="E8" s="44">
        <v>39.99</v>
      </c>
      <c r="F8" s="46" t="s">
        <v>186</v>
      </c>
      <c r="G8" s="2" t="s">
        <v>194</v>
      </c>
      <c r="H8" s="2" t="s">
        <v>96</v>
      </c>
    </row>
    <row r="9" spans="1:8" ht="18">
      <c r="A9" s="1" t="s">
        <v>6</v>
      </c>
      <c r="B9" s="1" t="s">
        <v>211</v>
      </c>
      <c r="C9" s="12">
        <v>43784</v>
      </c>
      <c r="D9" s="18">
        <f t="shared" si="0"/>
        <v>2019</v>
      </c>
      <c r="E9" s="44">
        <v>39.99</v>
      </c>
      <c r="F9" s="46" t="s">
        <v>186</v>
      </c>
      <c r="G9" s="2" t="s">
        <v>194</v>
      </c>
      <c r="H9" s="2" t="s">
        <v>97</v>
      </c>
    </row>
    <row r="10" spans="1:8" ht="18">
      <c r="A10" s="1" t="s">
        <v>7</v>
      </c>
      <c r="B10" s="1" t="s">
        <v>211</v>
      </c>
      <c r="C10" s="12">
        <v>43987</v>
      </c>
      <c r="D10" s="18">
        <f t="shared" si="0"/>
        <v>2020</v>
      </c>
      <c r="E10" s="44">
        <v>39.99</v>
      </c>
      <c r="F10" s="46" t="s">
        <v>186</v>
      </c>
      <c r="G10" s="2" t="s">
        <v>194</v>
      </c>
      <c r="H10" s="2" t="s">
        <v>98</v>
      </c>
    </row>
    <row r="11" spans="1:8" ht="18">
      <c r="A11" s="1" t="s">
        <v>8</v>
      </c>
      <c r="B11" s="1" t="s">
        <v>211</v>
      </c>
      <c r="C11" s="12">
        <v>44148</v>
      </c>
      <c r="D11" s="18">
        <f t="shared" si="0"/>
        <v>2020</v>
      </c>
      <c r="E11" s="44">
        <v>39.99</v>
      </c>
      <c r="F11" s="46" t="s">
        <v>186</v>
      </c>
      <c r="G11" s="2" t="s">
        <v>194</v>
      </c>
      <c r="H11" s="2" t="s">
        <v>99</v>
      </c>
    </row>
    <row r="12" spans="1:8" ht="18">
      <c r="A12" s="1" t="s">
        <v>9</v>
      </c>
      <c r="B12" s="1" t="s">
        <v>211</v>
      </c>
      <c r="C12" s="12">
        <v>44399</v>
      </c>
      <c r="D12" s="18">
        <f t="shared" si="0"/>
        <v>2021</v>
      </c>
      <c r="E12" s="44">
        <v>39.99</v>
      </c>
      <c r="F12" s="46" t="s">
        <v>186</v>
      </c>
      <c r="G12" s="2" t="s">
        <v>194</v>
      </c>
      <c r="H12" s="2" t="s">
        <v>100</v>
      </c>
    </row>
    <row r="13" spans="1:8" ht="18">
      <c r="A13" s="1" t="s">
        <v>10</v>
      </c>
      <c r="B13" s="1" t="s">
        <v>211</v>
      </c>
      <c r="C13" s="12">
        <v>44770</v>
      </c>
      <c r="D13" s="18">
        <f t="shared" si="0"/>
        <v>2022</v>
      </c>
      <c r="E13" s="44">
        <v>39.99</v>
      </c>
      <c r="F13" s="46" t="s">
        <v>186</v>
      </c>
      <c r="G13" s="2" t="s">
        <v>194</v>
      </c>
      <c r="H13" s="2" t="s">
        <v>101</v>
      </c>
    </row>
    <row r="14" spans="1:8" ht="18">
      <c r="A14" s="1" t="s">
        <v>11</v>
      </c>
      <c r="B14" s="1" t="s">
        <v>211</v>
      </c>
      <c r="C14" s="12">
        <v>45001</v>
      </c>
      <c r="D14" s="18">
        <f t="shared" si="0"/>
        <v>2023</v>
      </c>
      <c r="E14" s="44">
        <v>39.99</v>
      </c>
      <c r="F14" s="46" t="s">
        <v>186</v>
      </c>
      <c r="G14" s="2" t="s">
        <v>194</v>
      </c>
      <c r="H14" s="2" t="s">
        <v>102</v>
      </c>
    </row>
    <row r="15" spans="1:8" ht="18">
      <c r="A15" s="1" t="s">
        <v>12</v>
      </c>
      <c r="B15" s="1" t="s">
        <v>211</v>
      </c>
      <c r="C15" s="12">
        <v>45127</v>
      </c>
      <c r="D15" s="18">
        <f t="shared" si="0"/>
        <v>2023</v>
      </c>
      <c r="E15" s="44">
        <v>39.99</v>
      </c>
      <c r="F15" s="46" t="s">
        <v>186</v>
      </c>
      <c r="G15" s="2" t="s">
        <v>194</v>
      </c>
      <c r="H15" s="2" t="s">
        <v>103</v>
      </c>
    </row>
    <row r="16" spans="1:8" ht="18">
      <c r="A16" s="1" t="s">
        <v>13</v>
      </c>
      <c r="B16" s="1" t="s">
        <v>211</v>
      </c>
      <c r="C16" s="12">
        <v>45267</v>
      </c>
      <c r="D16" s="18">
        <f t="shared" si="0"/>
        <v>2023</v>
      </c>
      <c r="E16" s="44">
        <v>39.99</v>
      </c>
      <c r="F16" s="46" t="s">
        <v>186</v>
      </c>
      <c r="G16" s="2" t="s">
        <v>194</v>
      </c>
      <c r="H16" s="2" t="s">
        <v>104</v>
      </c>
    </row>
    <row r="17" spans="1:8" ht="18">
      <c r="A17" s="1" t="s">
        <v>14</v>
      </c>
      <c r="B17" s="1" t="s">
        <v>211</v>
      </c>
      <c r="C17" s="12">
        <v>45498</v>
      </c>
      <c r="D17" s="18">
        <f t="shared" si="0"/>
        <v>2024</v>
      </c>
      <c r="E17" s="44">
        <v>39.99</v>
      </c>
      <c r="F17" s="46" t="s">
        <v>186</v>
      </c>
      <c r="G17" s="2" t="s">
        <v>194</v>
      </c>
      <c r="H17" s="2" t="s">
        <v>105</v>
      </c>
    </row>
    <row r="18" spans="1:8" ht="18">
      <c r="A18" s="1" t="s">
        <v>15</v>
      </c>
      <c r="B18" s="1" t="s">
        <v>211</v>
      </c>
      <c r="C18" s="12">
        <v>45596</v>
      </c>
      <c r="D18" s="18">
        <f t="shared" si="0"/>
        <v>2024</v>
      </c>
      <c r="E18" s="44">
        <v>39.99</v>
      </c>
      <c r="F18" s="46" t="s">
        <v>186</v>
      </c>
      <c r="G18" s="2" t="s">
        <v>194</v>
      </c>
      <c r="H18" s="2" t="s">
        <v>106</v>
      </c>
    </row>
    <row r="19" spans="1:8" ht="18">
      <c r="A19" s="1" t="s">
        <v>16</v>
      </c>
      <c r="B19" s="1" t="s">
        <v>211</v>
      </c>
      <c r="C19" s="12">
        <v>45722</v>
      </c>
      <c r="D19" s="18">
        <f t="shared" si="0"/>
        <v>2025</v>
      </c>
      <c r="E19" s="44">
        <v>39.99</v>
      </c>
      <c r="F19" s="46" t="s">
        <v>186</v>
      </c>
      <c r="G19" s="2" t="s">
        <v>194</v>
      </c>
      <c r="H19" s="2" t="s">
        <v>107</v>
      </c>
    </row>
    <row r="20" spans="1:8" ht="18">
      <c r="A20" s="1" t="s">
        <v>17</v>
      </c>
      <c r="B20" s="1" t="s">
        <v>211</v>
      </c>
      <c r="C20" s="12">
        <v>45848</v>
      </c>
      <c r="D20" s="18">
        <f t="shared" si="0"/>
        <v>2025</v>
      </c>
      <c r="E20" s="44">
        <v>39.99</v>
      </c>
      <c r="F20" s="46" t="s">
        <v>186</v>
      </c>
      <c r="G20" s="2" t="s">
        <v>194</v>
      </c>
      <c r="H20" s="2" t="s">
        <v>109</v>
      </c>
    </row>
    <row r="21" spans="1:8" ht="18">
      <c r="A21" s="1" t="s">
        <v>18</v>
      </c>
      <c r="B21" s="1" t="s">
        <v>211</v>
      </c>
      <c r="C21" s="12">
        <v>45932</v>
      </c>
      <c r="D21" s="18">
        <f t="shared" si="0"/>
        <v>2025</v>
      </c>
      <c r="E21" s="44">
        <v>39.99</v>
      </c>
      <c r="F21" s="46" t="s">
        <v>186</v>
      </c>
      <c r="G21" s="2" t="s">
        <v>194</v>
      </c>
      <c r="H21" s="2" t="s">
        <v>108</v>
      </c>
    </row>
    <row r="22" spans="1:8" ht="18">
      <c r="A22" s="1" t="s">
        <v>195</v>
      </c>
      <c r="B22" s="1" t="s">
        <v>211</v>
      </c>
      <c r="C22" s="12">
        <v>46307</v>
      </c>
      <c r="D22" s="18">
        <f t="shared" si="0"/>
        <v>2026</v>
      </c>
      <c r="E22" s="44">
        <v>39.99</v>
      </c>
      <c r="F22" s="46" t="s">
        <v>186</v>
      </c>
      <c r="G22" s="2" t="s">
        <v>194</v>
      </c>
      <c r="H22" s="2" t="s">
        <v>198</v>
      </c>
    </row>
    <row r="23" spans="1:8" ht="18">
      <c r="A23" s="4" t="s">
        <v>19</v>
      </c>
      <c r="B23" s="4" t="s">
        <v>20</v>
      </c>
      <c r="C23" s="10">
        <v>42017</v>
      </c>
      <c r="D23" s="18">
        <f t="shared" si="0"/>
        <v>2015</v>
      </c>
      <c r="E23" s="45">
        <v>19.989999999999998</v>
      </c>
      <c r="F23" s="47" t="s">
        <v>186</v>
      </c>
      <c r="G23" s="2" t="s">
        <v>194</v>
      </c>
      <c r="H23" s="2" t="s">
        <v>111</v>
      </c>
    </row>
    <row r="24" spans="1:8" ht="18">
      <c r="A24" s="4" t="s">
        <v>21</v>
      </c>
      <c r="B24" s="4" t="s">
        <v>20</v>
      </c>
      <c r="C24" s="10">
        <v>42199</v>
      </c>
      <c r="D24" s="18">
        <f t="shared" si="0"/>
        <v>2015</v>
      </c>
      <c r="E24" s="45">
        <v>19.989999999999998</v>
      </c>
      <c r="F24" s="46" t="s">
        <v>186</v>
      </c>
      <c r="G24" s="2" t="s">
        <v>89</v>
      </c>
      <c r="H24" s="2" t="s">
        <v>112</v>
      </c>
    </row>
    <row r="25" spans="1:8" ht="18">
      <c r="A25" s="4" t="s">
        <v>22</v>
      </c>
      <c r="B25" s="4" t="s">
        <v>20</v>
      </c>
      <c r="C25" s="10">
        <v>42528</v>
      </c>
      <c r="D25" s="18">
        <f t="shared" si="0"/>
        <v>2016</v>
      </c>
      <c r="E25" s="45">
        <v>19.989999999999998</v>
      </c>
      <c r="F25" s="46" t="s">
        <v>186</v>
      </c>
      <c r="G25" s="2" t="s">
        <v>194</v>
      </c>
      <c r="H25" s="2" t="s">
        <v>113</v>
      </c>
    </row>
    <row r="26" spans="1:8" ht="18">
      <c r="A26" s="4" t="s">
        <v>23</v>
      </c>
      <c r="B26" s="4" t="s">
        <v>20</v>
      </c>
      <c r="C26" s="10">
        <v>42759</v>
      </c>
      <c r="D26" s="18">
        <f t="shared" si="0"/>
        <v>2017</v>
      </c>
      <c r="E26" s="45">
        <v>19.989999999999998</v>
      </c>
      <c r="F26" s="46" t="s">
        <v>186</v>
      </c>
      <c r="G26" s="2" t="s">
        <v>194</v>
      </c>
      <c r="H26" s="2" t="s">
        <v>114</v>
      </c>
    </row>
    <row r="27" spans="1:8" ht="18">
      <c r="A27" s="4" t="s">
        <v>24</v>
      </c>
      <c r="B27" s="4" t="s">
        <v>20</v>
      </c>
      <c r="C27" s="10">
        <v>42885</v>
      </c>
      <c r="D27" s="18">
        <f t="shared" si="0"/>
        <v>2017</v>
      </c>
      <c r="E27" s="45">
        <v>19.989999999999998</v>
      </c>
      <c r="F27" s="46" t="s">
        <v>186</v>
      </c>
      <c r="G27" s="2" t="s">
        <v>194</v>
      </c>
      <c r="H27" s="2" t="s">
        <v>115</v>
      </c>
    </row>
    <row r="28" spans="1:8" ht="18">
      <c r="A28" s="4" t="s">
        <v>25</v>
      </c>
      <c r="B28" s="4" t="s">
        <v>20</v>
      </c>
      <c r="C28" s="10">
        <v>43158</v>
      </c>
      <c r="D28" s="18">
        <f t="shared" si="0"/>
        <v>2018</v>
      </c>
      <c r="E28" s="45">
        <v>19.989999999999998</v>
      </c>
      <c r="F28" s="46" t="s">
        <v>186</v>
      </c>
      <c r="G28" s="2" t="s">
        <v>194</v>
      </c>
      <c r="H28" s="2" t="s">
        <v>116</v>
      </c>
    </row>
    <row r="29" spans="1:8" ht="18">
      <c r="A29" s="4" t="s">
        <v>26</v>
      </c>
      <c r="B29" s="4" t="s">
        <v>20</v>
      </c>
      <c r="C29" s="10">
        <v>43522</v>
      </c>
      <c r="D29" s="18">
        <f t="shared" si="0"/>
        <v>2019</v>
      </c>
      <c r="E29" s="45">
        <v>19.989999999999998</v>
      </c>
      <c r="F29" s="46" t="s">
        <v>186</v>
      </c>
      <c r="G29" s="2" t="s">
        <v>194</v>
      </c>
      <c r="H29" s="2" t="s">
        <v>117</v>
      </c>
    </row>
    <row r="30" spans="1:8" ht="18">
      <c r="A30" s="4" t="s">
        <v>27</v>
      </c>
      <c r="B30" s="4" t="s">
        <v>20</v>
      </c>
      <c r="C30" s="10">
        <v>43718</v>
      </c>
      <c r="D30" s="18">
        <f t="shared" si="0"/>
        <v>2019</v>
      </c>
      <c r="E30" s="45">
        <v>19.989999999999998</v>
      </c>
      <c r="F30" s="46" t="s">
        <v>186</v>
      </c>
      <c r="G30" s="2" t="s">
        <v>194</v>
      </c>
      <c r="H30" s="2" t="s">
        <v>118</v>
      </c>
    </row>
    <row r="31" spans="1:8" ht="18">
      <c r="A31" s="4" t="s">
        <v>28</v>
      </c>
      <c r="B31" s="4" t="s">
        <v>20</v>
      </c>
      <c r="C31" s="10">
        <v>44082</v>
      </c>
      <c r="D31" s="18">
        <f t="shared" si="0"/>
        <v>2020</v>
      </c>
      <c r="E31" s="45">
        <v>19.989999999999998</v>
      </c>
      <c r="F31" s="46" t="s">
        <v>186</v>
      </c>
      <c r="G31" s="2" t="s">
        <v>89</v>
      </c>
      <c r="H31" s="2" t="s">
        <v>119</v>
      </c>
    </row>
    <row r="32" spans="1:8" ht="18">
      <c r="A32" s="4" t="s">
        <v>29</v>
      </c>
      <c r="B32" s="4" t="s">
        <v>20</v>
      </c>
      <c r="C32" s="10">
        <v>44348</v>
      </c>
      <c r="D32" s="18">
        <f t="shared" si="0"/>
        <v>2021</v>
      </c>
      <c r="E32" s="45">
        <v>19.989999999999998</v>
      </c>
      <c r="F32" s="46" t="s">
        <v>186</v>
      </c>
      <c r="G32" s="2" t="s">
        <v>89</v>
      </c>
      <c r="H32" s="2" t="s">
        <v>120</v>
      </c>
    </row>
    <row r="33" spans="1:8" ht="18">
      <c r="A33" s="4" t="s">
        <v>30</v>
      </c>
      <c r="B33" s="4" t="s">
        <v>20</v>
      </c>
      <c r="C33" s="10">
        <v>44615</v>
      </c>
      <c r="D33" s="18">
        <f t="shared" si="0"/>
        <v>2022</v>
      </c>
      <c r="E33" s="45">
        <v>19.989999999999998</v>
      </c>
      <c r="F33" s="46" t="s">
        <v>186</v>
      </c>
      <c r="G33" s="2" t="s">
        <v>194</v>
      </c>
      <c r="H33" s="2" t="s">
        <v>121</v>
      </c>
    </row>
    <row r="34" spans="1:8" ht="18">
      <c r="A34" s="4" t="s">
        <v>31</v>
      </c>
      <c r="B34" s="4" t="s">
        <v>20</v>
      </c>
      <c r="C34" s="10">
        <v>44728</v>
      </c>
      <c r="D34" s="18">
        <f t="shared" si="0"/>
        <v>2022</v>
      </c>
      <c r="E34" s="45">
        <v>19.989999999999998</v>
      </c>
      <c r="F34" s="46" t="s">
        <v>186</v>
      </c>
      <c r="G34" s="2" t="s">
        <v>194</v>
      </c>
      <c r="H34" s="2" t="s">
        <v>122</v>
      </c>
    </row>
    <row r="35" spans="1:8" ht="18">
      <c r="A35" s="4" t="s">
        <v>32</v>
      </c>
      <c r="B35" s="4" t="s">
        <v>33</v>
      </c>
      <c r="C35" s="10">
        <v>42143</v>
      </c>
      <c r="D35" s="18">
        <f t="shared" si="0"/>
        <v>2015</v>
      </c>
      <c r="E35" s="45">
        <v>9.99</v>
      </c>
      <c r="F35" s="46" t="s">
        <v>186</v>
      </c>
      <c r="G35" s="2" t="s">
        <v>89</v>
      </c>
      <c r="H35" s="2" t="s">
        <v>123</v>
      </c>
    </row>
    <row r="36" spans="1:8" ht="18">
      <c r="A36" s="4" t="s">
        <v>34</v>
      </c>
      <c r="B36" s="4" t="s">
        <v>33</v>
      </c>
      <c r="C36" s="10">
        <v>42171</v>
      </c>
      <c r="D36" s="18">
        <f t="shared" si="0"/>
        <v>2015</v>
      </c>
      <c r="E36" s="45">
        <v>9.99</v>
      </c>
      <c r="F36" s="46" t="s">
        <v>186</v>
      </c>
      <c r="G36" s="2" t="s">
        <v>89</v>
      </c>
      <c r="H36" s="2" t="s">
        <v>196</v>
      </c>
    </row>
    <row r="37" spans="1:8" ht="18">
      <c r="A37" s="4" t="s">
        <v>35</v>
      </c>
      <c r="B37" s="4" t="s">
        <v>33</v>
      </c>
      <c r="C37" s="10">
        <v>42227</v>
      </c>
      <c r="D37" s="18">
        <f t="shared" si="0"/>
        <v>2015</v>
      </c>
      <c r="E37" s="45">
        <v>9.99</v>
      </c>
      <c r="F37" s="46" t="s">
        <v>186</v>
      </c>
      <c r="G37" s="2" t="s">
        <v>89</v>
      </c>
      <c r="H37" s="2" t="s">
        <v>124</v>
      </c>
    </row>
    <row r="38" spans="1:8" ht="18">
      <c r="A38" s="4" t="s">
        <v>36</v>
      </c>
      <c r="B38" s="4" t="s">
        <v>33</v>
      </c>
      <c r="C38" s="10">
        <v>42276</v>
      </c>
      <c r="D38" s="18">
        <f t="shared" si="0"/>
        <v>2015</v>
      </c>
      <c r="E38" s="45">
        <v>9.99</v>
      </c>
      <c r="F38" s="46" t="s">
        <v>186</v>
      </c>
      <c r="G38" s="2" t="s">
        <v>89</v>
      </c>
      <c r="H38" s="2" t="s">
        <v>125</v>
      </c>
    </row>
    <row r="39" spans="1:8" ht="18">
      <c r="A39" s="4" t="s">
        <v>37</v>
      </c>
      <c r="B39" s="4" t="s">
        <v>33</v>
      </c>
      <c r="C39" s="10">
        <v>42381</v>
      </c>
      <c r="D39" s="18">
        <f t="shared" si="0"/>
        <v>2016</v>
      </c>
      <c r="E39" s="45">
        <v>9.99</v>
      </c>
      <c r="F39" s="46" t="s">
        <v>186</v>
      </c>
      <c r="G39" s="2" t="s">
        <v>89</v>
      </c>
      <c r="H39" s="2" t="s">
        <v>126</v>
      </c>
    </row>
    <row r="40" spans="1:8" ht="18">
      <c r="A40" s="4" t="s">
        <v>38</v>
      </c>
      <c r="B40" s="4" t="s">
        <v>33</v>
      </c>
      <c r="C40" s="10">
        <v>42409</v>
      </c>
      <c r="D40" s="18">
        <f t="shared" si="0"/>
        <v>2016</v>
      </c>
      <c r="E40" s="45">
        <v>9.99</v>
      </c>
      <c r="F40" s="46" t="s">
        <v>186</v>
      </c>
      <c r="G40" s="2" t="s">
        <v>89</v>
      </c>
      <c r="H40" s="2" t="s">
        <v>127</v>
      </c>
    </row>
    <row r="41" spans="1:8" ht="18">
      <c r="A41" s="4" t="s">
        <v>39</v>
      </c>
      <c r="B41" s="4" t="s">
        <v>33</v>
      </c>
      <c r="C41" s="10">
        <v>42549</v>
      </c>
      <c r="D41" s="18">
        <f t="shared" si="0"/>
        <v>2016</v>
      </c>
      <c r="E41" s="45">
        <v>9.99</v>
      </c>
      <c r="F41" s="46" t="s">
        <v>186</v>
      </c>
      <c r="G41" s="2" t="s">
        <v>89</v>
      </c>
      <c r="H41" s="2" t="s">
        <v>128</v>
      </c>
    </row>
    <row r="42" spans="1:8" ht="18">
      <c r="A42" s="4" t="s">
        <v>40</v>
      </c>
      <c r="B42" s="4" t="s">
        <v>33</v>
      </c>
      <c r="C42" s="10">
        <v>42570</v>
      </c>
      <c r="D42" s="18">
        <f t="shared" si="0"/>
        <v>2016</v>
      </c>
      <c r="E42" s="45">
        <v>9.99</v>
      </c>
      <c r="F42" s="46" t="s">
        <v>186</v>
      </c>
      <c r="G42" s="2" t="s">
        <v>89</v>
      </c>
      <c r="H42" s="2" t="s">
        <v>129</v>
      </c>
    </row>
    <row r="43" spans="1:8" ht="18">
      <c r="A43" s="4" t="s">
        <v>41</v>
      </c>
      <c r="B43" s="4" t="s">
        <v>33</v>
      </c>
      <c r="C43" s="10">
        <v>42710</v>
      </c>
      <c r="D43" s="18">
        <f t="shared" si="0"/>
        <v>2016</v>
      </c>
      <c r="E43" s="45">
        <v>9.99</v>
      </c>
      <c r="F43" s="46" t="s">
        <v>186</v>
      </c>
      <c r="G43" s="2" t="s">
        <v>89</v>
      </c>
      <c r="H43" s="2" t="s">
        <v>130</v>
      </c>
    </row>
    <row r="44" spans="1:8" ht="18">
      <c r="A44" s="4" t="s">
        <v>42</v>
      </c>
      <c r="B44" s="4" t="s">
        <v>33</v>
      </c>
      <c r="C44" s="10">
        <v>42823</v>
      </c>
      <c r="D44" s="18">
        <f t="shared" si="0"/>
        <v>2017</v>
      </c>
      <c r="E44" s="45">
        <v>9.99</v>
      </c>
      <c r="F44" s="46" t="s">
        <v>186</v>
      </c>
      <c r="G44" s="2" t="s">
        <v>194</v>
      </c>
      <c r="H44" s="2" t="s">
        <v>131</v>
      </c>
    </row>
    <row r="45" spans="1:8" ht="18">
      <c r="A45" s="4" t="s">
        <v>43</v>
      </c>
      <c r="B45" s="4" t="s">
        <v>33</v>
      </c>
      <c r="C45" s="10">
        <v>42906</v>
      </c>
      <c r="D45" s="18">
        <f t="shared" si="0"/>
        <v>2017</v>
      </c>
      <c r="E45" s="45">
        <v>9.99</v>
      </c>
      <c r="F45" s="46" t="s">
        <v>186</v>
      </c>
      <c r="G45" s="2" t="s">
        <v>194</v>
      </c>
      <c r="H45" s="2" t="s">
        <v>132</v>
      </c>
    </row>
    <row r="46" spans="1:8" ht="18">
      <c r="A46" s="4" t="s">
        <v>44</v>
      </c>
      <c r="B46" s="4" t="s">
        <v>33</v>
      </c>
      <c r="C46" s="10">
        <v>42971</v>
      </c>
      <c r="D46" s="18">
        <f t="shared" si="0"/>
        <v>2017</v>
      </c>
      <c r="E46" s="45">
        <v>9.99</v>
      </c>
      <c r="F46" s="46" t="s">
        <v>186</v>
      </c>
      <c r="G46" s="2" t="s">
        <v>89</v>
      </c>
      <c r="H46" s="2" t="s">
        <v>133</v>
      </c>
    </row>
    <row r="47" spans="1:8" ht="18">
      <c r="A47" s="4" t="s">
        <v>45</v>
      </c>
      <c r="B47" s="4" t="s">
        <v>33</v>
      </c>
      <c r="C47" s="10">
        <v>43116</v>
      </c>
      <c r="D47" s="18">
        <f t="shared" si="0"/>
        <v>2018</v>
      </c>
      <c r="E47" s="45">
        <v>9.99</v>
      </c>
      <c r="F47" s="46" t="s">
        <v>186</v>
      </c>
      <c r="G47" s="2" t="s">
        <v>194</v>
      </c>
      <c r="H47" s="2" t="s">
        <v>134</v>
      </c>
    </row>
    <row r="48" spans="1:8" ht="18">
      <c r="A48" s="4" t="s">
        <v>46</v>
      </c>
      <c r="B48" s="4" t="s">
        <v>33</v>
      </c>
      <c r="C48" s="10">
        <v>43172</v>
      </c>
      <c r="D48" s="18">
        <f t="shared" si="0"/>
        <v>2018</v>
      </c>
      <c r="E48" s="45">
        <v>9.99</v>
      </c>
      <c r="F48" s="46" t="s">
        <v>186</v>
      </c>
      <c r="G48" s="2" t="s">
        <v>89</v>
      </c>
      <c r="H48" s="2" t="s">
        <v>135</v>
      </c>
    </row>
    <row r="49" spans="1:8" ht="18">
      <c r="A49" s="4" t="s">
        <v>47</v>
      </c>
      <c r="B49" s="4" t="s">
        <v>33</v>
      </c>
      <c r="C49" s="10">
        <v>43690</v>
      </c>
      <c r="D49" s="18">
        <f t="shared" si="0"/>
        <v>2019</v>
      </c>
      <c r="E49" s="45">
        <v>9.99</v>
      </c>
      <c r="F49" s="46" t="s">
        <v>186</v>
      </c>
      <c r="G49" s="2" t="s">
        <v>89</v>
      </c>
      <c r="H49" s="2" t="s">
        <v>136</v>
      </c>
    </row>
    <row r="50" spans="1:8" ht="18">
      <c r="A50" s="4" t="s">
        <v>48</v>
      </c>
      <c r="B50" s="4" t="s">
        <v>33</v>
      </c>
      <c r="C50" s="10">
        <v>43851</v>
      </c>
      <c r="D50" s="18">
        <f t="shared" si="0"/>
        <v>2020</v>
      </c>
      <c r="E50" s="45">
        <v>9.99</v>
      </c>
      <c r="F50" s="46" t="s">
        <v>186</v>
      </c>
      <c r="G50" s="2" t="s">
        <v>194</v>
      </c>
      <c r="H50" s="2" t="s">
        <v>137</v>
      </c>
    </row>
    <row r="51" spans="1:8" ht="18">
      <c r="A51" s="4" t="s">
        <v>49</v>
      </c>
      <c r="B51" s="4" t="s">
        <v>33</v>
      </c>
      <c r="C51" s="10">
        <v>44040</v>
      </c>
      <c r="D51" s="18">
        <f t="shared" si="0"/>
        <v>2020</v>
      </c>
      <c r="E51" s="45">
        <v>9.99</v>
      </c>
      <c r="F51" s="46" t="s">
        <v>186</v>
      </c>
      <c r="G51" s="2" t="s">
        <v>194</v>
      </c>
      <c r="H51" s="2" t="s">
        <v>138</v>
      </c>
    </row>
    <row r="52" spans="1:8" ht="18">
      <c r="A52" s="4" t="s">
        <v>50</v>
      </c>
      <c r="B52" s="4" t="s">
        <v>33</v>
      </c>
      <c r="C52" s="10">
        <v>44222</v>
      </c>
      <c r="D52" s="18">
        <f t="shared" si="0"/>
        <v>2021</v>
      </c>
      <c r="E52" s="45">
        <v>9.99</v>
      </c>
      <c r="F52" s="46" t="s">
        <v>186</v>
      </c>
      <c r="G52" s="2" t="s">
        <v>194</v>
      </c>
      <c r="H52" s="2" t="s">
        <v>139</v>
      </c>
    </row>
    <row r="53" spans="1:8" ht="18">
      <c r="A53" s="4" t="s">
        <v>51</v>
      </c>
      <c r="B53" s="4" t="s">
        <v>33</v>
      </c>
      <c r="C53" s="10">
        <v>45197</v>
      </c>
      <c r="D53" s="18">
        <f t="shared" si="0"/>
        <v>2023</v>
      </c>
      <c r="E53" s="45">
        <v>9.99</v>
      </c>
      <c r="F53" s="46" t="s">
        <v>186</v>
      </c>
      <c r="G53" s="2" t="s">
        <v>89</v>
      </c>
      <c r="H53" s="2" t="s">
        <v>140</v>
      </c>
    </row>
    <row r="54" spans="1:8" ht="18">
      <c r="A54" s="4" t="s">
        <v>52</v>
      </c>
      <c r="B54" s="4" t="s">
        <v>33</v>
      </c>
      <c r="C54" s="10">
        <v>45351</v>
      </c>
      <c r="D54" s="18">
        <f t="shared" si="0"/>
        <v>2024</v>
      </c>
      <c r="E54" s="45">
        <v>9.99</v>
      </c>
      <c r="F54" s="46" t="s">
        <v>186</v>
      </c>
      <c r="G54" s="2" t="s">
        <v>89</v>
      </c>
      <c r="H54" s="2" t="s">
        <v>141</v>
      </c>
    </row>
    <row r="55" spans="1:8" ht="18">
      <c r="A55" s="4" t="s">
        <v>142</v>
      </c>
      <c r="B55" s="4" t="s">
        <v>54</v>
      </c>
      <c r="C55" s="10">
        <v>44257</v>
      </c>
      <c r="D55" s="18">
        <f t="shared" si="0"/>
        <v>2021</v>
      </c>
      <c r="E55" s="25">
        <v>4.99</v>
      </c>
      <c r="F55" s="46" t="s">
        <v>186</v>
      </c>
      <c r="G55" s="2" t="s">
        <v>89</v>
      </c>
      <c r="H55" s="2" t="s">
        <v>152</v>
      </c>
    </row>
    <row r="56" spans="1:8" ht="18">
      <c r="A56" s="4" t="s">
        <v>55</v>
      </c>
      <c r="B56" s="4" t="s">
        <v>54</v>
      </c>
      <c r="C56" s="10">
        <v>44257</v>
      </c>
      <c r="D56" s="18">
        <f t="shared" si="0"/>
        <v>2021</v>
      </c>
      <c r="E56" s="25">
        <v>4.99</v>
      </c>
      <c r="F56" s="46" t="s">
        <v>186</v>
      </c>
      <c r="G56" s="2" t="s">
        <v>89</v>
      </c>
      <c r="H56" s="2" t="s">
        <v>153</v>
      </c>
    </row>
    <row r="57" spans="1:8" ht="18">
      <c r="A57" s="4" t="s">
        <v>53</v>
      </c>
      <c r="B57" s="4" t="s">
        <v>54</v>
      </c>
      <c r="C57" s="10">
        <v>44257</v>
      </c>
      <c r="D57" s="18">
        <f t="shared" si="0"/>
        <v>2021</v>
      </c>
      <c r="E57" s="25">
        <v>4.99</v>
      </c>
      <c r="F57" s="46" t="s">
        <v>186</v>
      </c>
      <c r="G57" s="2" t="s">
        <v>194</v>
      </c>
      <c r="H57" s="2" t="s">
        <v>154</v>
      </c>
    </row>
    <row r="58" spans="1:8" ht="18">
      <c r="A58" s="4" t="s">
        <v>56</v>
      </c>
      <c r="B58" s="4" t="s">
        <v>54</v>
      </c>
      <c r="C58" s="10">
        <v>44334</v>
      </c>
      <c r="D58" s="18">
        <f t="shared" si="0"/>
        <v>2021</v>
      </c>
      <c r="E58" s="25">
        <v>4.99</v>
      </c>
      <c r="F58" s="46" t="s">
        <v>186</v>
      </c>
      <c r="G58" s="2" t="s">
        <v>89</v>
      </c>
      <c r="H58" s="2" t="s">
        <v>155</v>
      </c>
    </row>
    <row r="59" spans="1:8" ht="18">
      <c r="A59" s="4" t="s">
        <v>57</v>
      </c>
      <c r="B59" s="4" t="s">
        <v>54</v>
      </c>
      <c r="C59" s="10">
        <v>44434</v>
      </c>
      <c r="D59" s="18">
        <f t="shared" si="0"/>
        <v>2021</v>
      </c>
      <c r="E59" s="25">
        <v>4.99</v>
      </c>
      <c r="F59" s="46" t="s">
        <v>186</v>
      </c>
      <c r="G59" s="2" t="s">
        <v>89</v>
      </c>
      <c r="H59" s="2" t="s">
        <v>156</v>
      </c>
    </row>
    <row r="60" spans="1:8" ht="18">
      <c r="A60" s="4" t="s">
        <v>58</v>
      </c>
      <c r="B60" s="4" t="s">
        <v>54</v>
      </c>
      <c r="C60" s="10">
        <v>44474</v>
      </c>
      <c r="D60" s="18">
        <f t="shared" si="0"/>
        <v>2021</v>
      </c>
      <c r="E60" s="25">
        <v>4.99</v>
      </c>
      <c r="F60" s="46" t="s">
        <v>186</v>
      </c>
      <c r="G60" s="2" t="s">
        <v>89</v>
      </c>
      <c r="H60" s="2" t="s">
        <v>157</v>
      </c>
    </row>
    <row r="61" spans="1:8" ht="18">
      <c r="A61" s="4" t="s">
        <v>59</v>
      </c>
      <c r="B61" s="4" t="s">
        <v>54</v>
      </c>
      <c r="C61" s="10">
        <v>44474</v>
      </c>
      <c r="D61" s="18">
        <f t="shared" si="0"/>
        <v>2021</v>
      </c>
      <c r="E61" s="25">
        <v>4.99</v>
      </c>
      <c r="F61" s="46" t="s">
        <v>186</v>
      </c>
      <c r="G61" s="2" t="s">
        <v>89</v>
      </c>
      <c r="H61" s="2" t="s">
        <v>158</v>
      </c>
    </row>
    <row r="62" spans="1:8" ht="18">
      <c r="A62" s="4" t="s">
        <v>60</v>
      </c>
      <c r="B62" s="4" t="s">
        <v>54</v>
      </c>
      <c r="C62" s="10">
        <v>44509</v>
      </c>
      <c r="D62" s="18">
        <f t="shared" si="0"/>
        <v>2021</v>
      </c>
      <c r="E62" s="25">
        <v>4.99</v>
      </c>
      <c r="F62" s="46" t="s">
        <v>186</v>
      </c>
      <c r="G62" s="2" t="s">
        <v>89</v>
      </c>
      <c r="H62" s="2" t="s">
        <v>159</v>
      </c>
    </row>
    <row r="63" spans="1:8" ht="18">
      <c r="A63" s="4" t="s">
        <v>61</v>
      </c>
      <c r="B63" s="4" t="s">
        <v>54</v>
      </c>
      <c r="C63" s="10">
        <v>44532</v>
      </c>
      <c r="D63" s="18">
        <f t="shared" si="0"/>
        <v>2021</v>
      </c>
      <c r="E63" s="25">
        <v>4.99</v>
      </c>
      <c r="F63" s="46" t="s">
        <v>186</v>
      </c>
      <c r="G63" s="2" t="s">
        <v>89</v>
      </c>
      <c r="H63" s="2" t="s">
        <v>160</v>
      </c>
    </row>
    <row r="64" spans="1:8" ht="18">
      <c r="A64" s="4" t="s">
        <v>62</v>
      </c>
      <c r="B64" s="4" t="s">
        <v>54</v>
      </c>
      <c r="C64" s="10">
        <v>44595</v>
      </c>
      <c r="D64" s="18">
        <f t="shared" si="0"/>
        <v>2022</v>
      </c>
      <c r="E64" s="25">
        <v>4.99</v>
      </c>
      <c r="F64" s="46" t="s">
        <v>186</v>
      </c>
      <c r="G64" s="2" t="s">
        <v>89</v>
      </c>
      <c r="H64" s="2" t="s">
        <v>161</v>
      </c>
    </row>
    <row r="65" spans="1:8" ht="18">
      <c r="A65" s="4" t="s">
        <v>63</v>
      </c>
      <c r="B65" s="4" t="s">
        <v>54</v>
      </c>
      <c r="C65" s="10">
        <v>44641</v>
      </c>
      <c r="D65" s="18">
        <f t="shared" si="0"/>
        <v>2022</v>
      </c>
      <c r="E65" s="25">
        <v>4.99</v>
      </c>
      <c r="F65" s="46" t="s">
        <v>186</v>
      </c>
      <c r="G65" s="2" t="s">
        <v>89</v>
      </c>
      <c r="H65" s="2" t="s">
        <v>162</v>
      </c>
    </row>
    <row r="66" spans="1:8" ht="18">
      <c r="A66" s="4" t="s">
        <v>64</v>
      </c>
      <c r="B66" s="4" t="s">
        <v>54</v>
      </c>
      <c r="C66" s="10">
        <v>44707</v>
      </c>
      <c r="D66" s="18">
        <f t="shared" si="0"/>
        <v>2022</v>
      </c>
      <c r="E66" s="25">
        <v>4.99</v>
      </c>
      <c r="F66" s="46" t="s">
        <v>186</v>
      </c>
      <c r="G66" s="2" t="s">
        <v>89</v>
      </c>
      <c r="H66" s="2" t="s">
        <v>163</v>
      </c>
    </row>
    <row r="67" spans="1:8" ht="18">
      <c r="A67" s="4" t="s">
        <v>200</v>
      </c>
      <c r="B67" s="4" t="s">
        <v>54</v>
      </c>
      <c r="C67" s="10">
        <v>44707</v>
      </c>
      <c r="D67" s="18">
        <f t="shared" ref="D67:D100" si="1">YEAR(C67)</f>
        <v>2022</v>
      </c>
      <c r="E67" s="25">
        <v>4.99</v>
      </c>
      <c r="F67" s="46" t="s">
        <v>186</v>
      </c>
      <c r="G67" s="2" t="s">
        <v>89</v>
      </c>
      <c r="H67" s="2" t="s">
        <v>164</v>
      </c>
    </row>
    <row r="68" spans="1:8" ht="18">
      <c r="A68" s="4" t="s">
        <v>65</v>
      </c>
      <c r="B68" s="4" t="s">
        <v>54</v>
      </c>
      <c r="C68" s="10">
        <v>44805</v>
      </c>
      <c r="D68" s="18">
        <f t="shared" si="1"/>
        <v>2022</v>
      </c>
      <c r="E68" s="25">
        <v>4.99</v>
      </c>
      <c r="F68" s="46" t="s">
        <v>186</v>
      </c>
      <c r="G68" s="2" t="s">
        <v>89</v>
      </c>
      <c r="H68" s="2" t="s">
        <v>165</v>
      </c>
    </row>
    <row r="69" spans="1:8" ht="18">
      <c r="A69" s="4" t="s">
        <v>66</v>
      </c>
      <c r="B69" s="4" t="s">
        <v>54</v>
      </c>
      <c r="C69" s="10">
        <v>44818</v>
      </c>
      <c r="D69" s="18">
        <f t="shared" si="1"/>
        <v>2022</v>
      </c>
      <c r="E69" s="25">
        <v>4.99</v>
      </c>
      <c r="F69" s="46" t="s">
        <v>186</v>
      </c>
      <c r="G69" s="2" t="s">
        <v>89</v>
      </c>
      <c r="H69" s="2" t="s">
        <v>166</v>
      </c>
    </row>
    <row r="70" spans="1:8" ht="18">
      <c r="A70" s="4" t="s">
        <v>67</v>
      </c>
      <c r="B70" s="4" t="s">
        <v>54</v>
      </c>
      <c r="C70" s="10">
        <v>44875</v>
      </c>
      <c r="D70" s="18">
        <f t="shared" si="1"/>
        <v>2022</v>
      </c>
      <c r="E70" s="25">
        <v>4.99</v>
      </c>
      <c r="F70" s="46" t="s">
        <v>186</v>
      </c>
      <c r="G70" s="2" t="s">
        <v>89</v>
      </c>
      <c r="H70" s="2" t="s">
        <v>167</v>
      </c>
    </row>
    <row r="71" spans="1:8" ht="18">
      <c r="A71" s="4" t="s">
        <v>201</v>
      </c>
      <c r="B71" s="4" t="s">
        <v>54</v>
      </c>
      <c r="C71" s="10">
        <v>44875</v>
      </c>
      <c r="D71" s="18">
        <f t="shared" si="1"/>
        <v>2022</v>
      </c>
      <c r="E71" s="25">
        <v>4.99</v>
      </c>
      <c r="F71" s="46" t="s">
        <v>186</v>
      </c>
      <c r="G71" s="2" t="s">
        <v>89</v>
      </c>
      <c r="H71" s="2" t="s">
        <v>168</v>
      </c>
    </row>
    <row r="72" spans="1:8" ht="18">
      <c r="A72" s="4" t="s">
        <v>68</v>
      </c>
      <c r="B72" s="4" t="s">
        <v>54</v>
      </c>
      <c r="C72" s="10">
        <v>44945</v>
      </c>
      <c r="D72" s="18">
        <f t="shared" si="1"/>
        <v>2023</v>
      </c>
      <c r="E72" s="25">
        <v>4.99</v>
      </c>
      <c r="F72" s="46" t="s">
        <v>186</v>
      </c>
      <c r="G72" s="2" t="s">
        <v>89</v>
      </c>
      <c r="H72" s="2" t="s">
        <v>169</v>
      </c>
    </row>
    <row r="73" spans="1:8" ht="18">
      <c r="A73" s="4" t="s">
        <v>202</v>
      </c>
      <c r="B73" s="4" t="s">
        <v>54</v>
      </c>
      <c r="C73" s="10">
        <v>44945</v>
      </c>
      <c r="D73" s="18">
        <f t="shared" si="1"/>
        <v>2023</v>
      </c>
      <c r="E73" s="25">
        <v>4.99</v>
      </c>
      <c r="F73" s="46" t="s">
        <v>186</v>
      </c>
      <c r="G73" s="2" t="s">
        <v>89</v>
      </c>
      <c r="H73" s="2" t="s">
        <v>170</v>
      </c>
    </row>
    <row r="74" spans="1:8" ht="18">
      <c r="A74" s="4" t="s">
        <v>69</v>
      </c>
      <c r="B74" s="4" t="s">
        <v>54</v>
      </c>
      <c r="C74" s="10">
        <v>45036</v>
      </c>
      <c r="D74" s="18">
        <f t="shared" si="1"/>
        <v>2023</v>
      </c>
      <c r="E74" s="25">
        <v>4.99</v>
      </c>
      <c r="F74" s="46" t="s">
        <v>186</v>
      </c>
      <c r="G74" s="2" t="s">
        <v>89</v>
      </c>
      <c r="H74" s="2" t="s">
        <v>171</v>
      </c>
    </row>
    <row r="75" spans="1:8" ht="18">
      <c r="A75" s="4" t="s">
        <v>209</v>
      </c>
      <c r="B75" s="4" t="s">
        <v>54</v>
      </c>
      <c r="C75" s="10">
        <v>45036</v>
      </c>
      <c r="D75" s="18">
        <f t="shared" si="1"/>
        <v>2023</v>
      </c>
      <c r="E75" s="25">
        <v>4.99</v>
      </c>
      <c r="F75" s="46" t="s">
        <v>186</v>
      </c>
      <c r="G75" s="2" t="s">
        <v>89</v>
      </c>
      <c r="H75" s="2" t="s">
        <v>172</v>
      </c>
    </row>
    <row r="76" spans="1:8" ht="18">
      <c r="A76" s="4" t="s">
        <v>70</v>
      </c>
      <c r="B76" s="4" t="s">
        <v>54</v>
      </c>
      <c r="C76" s="10">
        <v>45078</v>
      </c>
      <c r="D76" s="18">
        <f t="shared" si="1"/>
        <v>2023</v>
      </c>
      <c r="E76" s="25">
        <v>4.99</v>
      </c>
      <c r="F76" s="46" t="s">
        <v>186</v>
      </c>
      <c r="G76" s="2" t="s">
        <v>89</v>
      </c>
      <c r="H76" s="2" t="s">
        <v>173</v>
      </c>
    </row>
    <row r="77" spans="1:8" ht="18">
      <c r="A77" s="4" t="s">
        <v>208</v>
      </c>
      <c r="B77" s="4" t="s">
        <v>54</v>
      </c>
      <c r="C77" s="10">
        <v>45078</v>
      </c>
      <c r="D77" s="18">
        <f t="shared" si="1"/>
        <v>2023</v>
      </c>
      <c r="E77" s="25">
        <v>4.99</v>
      </c>
      <c r="F77" s="46" t="s">
        <v>186</v>
      </c>
      <c r="G77" s="2" t="s">
        <v>89</v>
      </c>
      <c r="H77" s="2" t="s">
        <v>174</v>
      </c>
    </row>
    <row r="78" spans="1:8" ht="18">
      <c r="A78" s="4" t="s">
        <v>71</v>
      </c>
      <c r="B78" s="4" t="s">
        <v>54</v>
      </c>
      <c r="C78" s="10">
        <v>45176</v>
      </c>
      <c r="D78" s="18">
        <f t="shared" si="1"/>
        <v>2023</v>
      </c>
      <c r="E78" s="25">
        <v>4.99</v>
      </c>
      <c r="F78" s="46" t="s">
        <v>186</v>
      </c>
      <c r="G78" s="2" t="s">
        <v>89</v>
      </c>
      <c r="H78" s="2" t="s">
        <v>175</v>
      </c>
    </row>
    <row r="79" spans="1:8" ht="18">
      <c r="A79" s="4" t="s">
        <v>207</v>
      </c>
      <c r="B79" s="4" t="s">
        <v>54</v>
      </c>
      <c r="C79" s="10">
        <v>45176</v>
      </c>
      <c r="D79" s="18">
        <f t="shared" si="1"/>
        <v>2023</v>
      </c>
      <c r="E79" s="25">
        <v>4.99</v>
      </c>
      <c r="F79" s="46" t="s">
        <v>186</v>
      </c>
      <c r="G79" s="2" t="s">
        <v>89</v>
      </c>
      <c r="H79" s="2" t="s">
        <v>176</v>
      </c>
    </row>
    <row r="80" spans="1:8" ht="18">
      <c r="A80" s="4" t="s">
        <v>72</v>
      </c>
      <c r="B80" s="4" t="s">
        <v>54</v>
      </c>
      <c r="C80" s="10">
        <v>45309</v>
      </c>
      <c r="D80" s="18">
        <f t="shared" si="1"/>
        <v>2024</v>
      </c>
      <c r="E80" s="25">
        <v>4.99</v>
      </c>
      <c r="F80" s="46" t="s">
        <v>186</v>
      </c>
      <c r="G80" s="2" t="s">
        <v>89</v>
      </c>
      <c r="H80" s="2" t="s">
        <v>177</v>
      </c>
    </row>
    <row r="81" spans="1:8" ht="18">
      <c r="A81" s="4" t="s">
        <v>73</v>
      </c>
      <c r="B81" s="4" t="s">
        <v>54</v>
      </c>
      <c r="C81" s="10">
        <v>45309</v>
      </c>
      <c r="D81" s="18">
        <f t="shared" si="1"/>
        <v>2024</v>
      </c>
      <c r="E81" s="25">
        <v>4.99</v>
      </c>
      <c r="F81" s="46" t="s">
        <v>186</v>
      </c>
      <c r="G81" s="2" t="s">
        <v>89</v>
      </c>
      <c r="H81" s="2" t="s">
        <v>178</v>
      </c>
    </row>
    <row r="82" spans="1:8" ht="18">
      <c r="A82" s="4" t="s">
        <v>212</v>
      </c>
      <c r="B82" s="4" t="s">
        <v>54</v>
      </c>
      <c r="C82" s="10">
        <v>45400</v>
      </c>
      <c r="D82" s="18">
        <f t="shared" si="1"/>
        <v>2024</v>
      </c>
      <c r="E82" s="25">
        <v>4.99</v>
      </c>
      <c r="F82" s="46" t="s">
        <v>186</v>
      </c>
      <c r="G82" s="2" t="s">
        <v>89</v>
      </c>
      <c r="H82" s="2" t="s">
        <v>179</v>
      </c>
    </row>
    <row r="83" spans="1:8" ht="18">
      <c r="A83" s="4" t="s">
        <v>206</v>
      </c>
      <c r="B83" s="4" t="s">
        <v>54</v>
      </c>
      <c r="C83" s="10">
        <v>45400</v>
      </c>
      <c r="D83" s="18">
        <f t="shared" si="1"/>
        <v>2024</v>
      </c>
      <c r="E83" s="25">
        <v>4.99</v>
      </c>
      <c r="F83" s="46" t="s">
        <v>186</v>
      </c>
      <c r="G83" s="2" t="s">
        <v>89</v>
      </c>
      <c r="H83" s="2" t="s">
        <v>180</v>
      </c>
    </row>
    <row r="84" spans="1:8" ht="18">
      <c r="A84" s="4" t="s">
        <v>74</v>
      </c>
      <c r="B84" s="4" t="s">
        <v>54</v>
      </c>
      <c r="C84" s="10">
        <v>45442</v>
      </c>
      <c r="D84" s="18">
        <f t="shared" si="1"/>
        <v>2024</v>
      </c>
      <c r="E84" s="25">
        <v>4.99</v>
      </c>
      <c r="F84" s="46" t="s">
        <v>186</v>
      </c>
      <c r="G84" s="2" t="s">
        <v>89</v>
      </c>
      <c r="H84" s="2" t="s">
        <v>181</v>
      </c>
    </row>
    <row r="85" spans="1:8" ht="18">
      <c r="A85" s="4" t="s">
        <v>205</v>
      </c>
      <c r="B85" s="4" t="s">
        <v>54</v>
      </c>
      <c r="C85" s="10">
        <v>45442</v>
      </c>
      <c r="D85" s="18">
        <f t="shared" si="1"/>
        <v>2024</v>
      </c>
      <c r="E85" s="25">
        <v>4.99</v>
      </c>
      <c r="F85" s="46" t="s">
        <v>186</v>
      </c>
      <c r="G85" s="2" t="s">
        <v>89</v>
      </c>
      <c r="H85" s="2" t="s">
        <v>182</v>
      </c>
    </row>
    <row r="86" spans="1:8" ht="18">
      <c r="A86" s="4" t="s">
        <v>75</v>
      </c>
      <c r="B86" s="4" t="s">
        <v>54</v>
      </c>
      <c r="C86" s="10">
        <v>45554</v>
      </c>
      <c r="D86" s="18">
        <f t="shared" si="1"/>
        <v>2024</v>
      </c>
      <c r="E86" s="25">
        <v>4.99</v>
      </c>
      <c r="F86" s="46" t="s">
        <v>186</v>
      </c>
      <c r="G86" s="2" t="s">
        <v>89</v>
      </c>
      <c r="H86" s="2" t="s">
        <v>183</v>
      </c>
    </row>
    <row r="87" spans="1:8" ht="18">
      <c r="A87" s="4" t="s">
        <v>76</v>
      </c>
      <c r="B87" s="4" t="s">
        <v>54</v>
      </c>
      <c r="C87" s="10">
        <v>45554</v>
      </c>
      <c r="D87" s="18">
        <f t="shared" si="1"/>
        <v>2024</v>
      </c>
      <c r="E87" s="25">
        <v>4.99</v>
      </c>
      <c r="F87" s="46" t="s">
        <v>186</v>
      </c>
      <c r="G87" s="2" t="s">
        <v>89</v>
      </c>
      <c r="H87" s="2" t="s">
        <v>184</v>
      </c>
    </row>
    <row r="88" spans="1:8" ht="18">
      <c r="A88" s="4" t="s">
        <v>77</v>
      </c>
      <c r="B88" s="4" t="s">
        <v>54</v>
      </c>
      <c r="C88" s="10">
        <v>45673</v>
      </c>
      <c r="D88" s="18">
        <f t="shared" si="1"/>
        <v>2025</v>
      </c>
      <c r="E88" s="25">
        <v>4.99</v>
      </c>
      <c r="F88" s="46" t="s">
        <v>186</v>
      </c>
      <c r="G88" s="2" t="s">
        <v>89</v>
      </c>
      <c r="H88" s="2" t="s">
        <v>143</v>
      </c>
    </row>
    <row r="89" spans="1:8" ht="18">
      <c r="A89" s="4" t="s">
        <v>78</v>
      </c>
      <c r="B89" s="4" t="s">
        <v>54</v>
      </c>
      <c r="C89" s="10">
        <v>45673</v>
      </c>
      <c r="D89" s="18">
        <f t="shared" si="1"/>
        <v>2025</v>
      </c>
      <c r="E89" s="25">
        <v>4.99</v>
      </c>
      <c r="F89" s="46" t="s">
        <v>186</v>
      </c>
      <c r="G89" s="2" t="s">
        <v>89</v>
      </c>
      <c r="H89" s="2" t="s">
        <v>144</v>
      </c>
    </row>
    <row r="90" spans="1:8" ht="18">
      <c r="A90" s="4" t="s">
        <v>79</v>
      </c>
      <c r="B90" s="4" t="s">
        <v>54</v>
      </c>
      <c r="C90" s="10">
        <v>45673</v>
      </c>
      <c r="D90" s="18">
        <f t="shared" si="1"/>
        <v>2025</v>
      </c>
      <c r="E90" s="25">
        <v>4.99</v>
      </c>
      <c r="F90" s="46" t="s">
        <v>186</v>
      </c>
      <c r="G90" s="2" t="s">
        <v>89</v>
      </c>
      <c r="H90" s="2" t="s">
        <v>145</v>
      </c>
    </row>
    <row r="91" spans="1:8" ht="18">
      <c r="A91" s="4" t="s">
        <v>80</v>
      </c>
      <c r="B91" s="4" t="s">
        <v>54</v>
      </c>
      <c r="C91" s="10">
        <v>45778</v>
      </c>
      <c r="D91" s="18">
        <f t="shared" si="1"/>
        <v>2025</v>
      </c>
      <c r="E91" s="25">
        <v>4.99</v>
      </c>
      <c r="F91" s="46" t="s">
        <v>186</v>
      </c>
      <c r="G91" s="2" t="s">
        <v>89</v>
      </c>
      <c r="H91" s="2" t="s">
        <v>146</v>
      </c>
    </row>
    <row r="92" spans="1:8" ht="18">
      <c r="A92" s="4" t="s">
        <v>204</v>
      </c>
      <c r="B92" s="10" t="s">
        <v>54</v>
      </c>
      <c r="C92" s="10">
        <v>45778</v>
      </c>
      <c r="D92" s="18">
        <f t="shared" si="1"/>
        <v>2025</v>
      </c>
      <c r="E92" s="25">
        <v>4.99</v>
      </c>
      <c r="F92" s="46" t="s">
        <v>186</v>
      </c>
      <c r="G92" s="2" t="s">
        <v>194</v>
      </c>
      <c r="H92" s="2" t="s">
        <v>147</v>
      </c>
    </row>
    <row r="93" spans="1:8" ht="18">
      <c r="A93" s="4" t="s">
        <v>203</v>
      </c>
      <c r="B93" s="4" t="s">
        <v>54</v>
      </c>
      <c r="C93" s="10">
        <v>45778</v>
      </c>
      <c r="D93" s="18">
        <f t="shared" si="1"/>
        <v>2025</v>
      </c>
      <c r="E93" s="25">
        <v>4.99</v>
      </c>
      <c r="F93" s="46" t="s">
        <v>186</v>
      </c>
      <c r="G93" s="2" t="s">
        <v>89</v>
      </c>
      <c r="H93" s="2" t="s">
        <v>148</v>
      </c>
    </row>
    <row r="94" spans="1:8" ht="18">
      <c r="A94" s="4" t="s">
        <v>81</v>
      </c>
      <c r="B94" s="4" t="s">
        <v>54</v>
      </c>
      <c r="C94" s="10">
        <v>45939</v>
      </c>
      <c r="D94" s="18">
        <f t="shared" si="1"/>
        <v>2025</v>
      </c>
      <c r="E94" s="25">
        <v>4.99</v>
      </c>
      <c r="F94" s="46" t="s">
        <v>186</v>
      </c>
      <c r="G94" s="2" t="s">
        <v>89</v>
      </c>
      <c r="H94" s="2" t="s">
        <v>149</v>
      </c>
    </row>
    <row r="95" spans="1:8" ht="18">
      <c r="A95" s="4" t="s">
        <v>82</v>
      </c>
      <c r="B95" s="4" t="s">
        <v>54</v>
      </c>
      <c r="C95" s="10">
        <v>45995</v>
      </c>
      <c r="D95" s="18">
        <f t="shared" si="1"/>
        <v>2025</v>
      </c>
      <c r="E95" s="25">
        <v>6.99</v>
      </c>
      <c r="F95" s="46" t="s">
        <v>186</v>
      </c>
      <c r="G95" s="2" t="s">
        <v>89</v>
      </c>
      <c r="H95" s="2" t="s">
        <v>150</v>
      </c>
    </row>
    <row r="96" spans="1:8" ht="18">
      <c r="A96" s="4" t="s">
        <v>83</v>
      </c>
      <c r="B96" s="4" t="s">
        <v>54</v>
      </c>
      <c r="C96" s="10">
        <v>45995</v>
      </c>
      <c r="D96" s="18">
        <f t="shared" si="1"/>
        <v>2025</v>
      </c>
      <c r="E96" s="25">
        <v>6.99</v>
      </c>
      <c r="F96" s="46" t="s">
        <v>186</v>
      </c>
      <c r="G96" s="2" t="s">
        <v>89</v>
      </c>
      <c r="H96" s="2" t="s">
        <v>151</v>
      </c>
    </row>
    <row r="97" spans="1:8" ht="18">
      <c r="A97" s="4" t="s">
        <v>214</v>
      </c>
      <c r="B97" s="4" t="s">
        <v>54</v>
      </c>
      <c r="C97" s="10">
        <v>46065</v>
      </c>
      <c r="D97" s="18">
        <f t="shared" si="1"/>
        <v>2026</v>
      </c>
      <c r="E97" s="25">
        <v>4.99</v>
      </c>
      <c r="F97" s="46" t="s">
        <v>186</v>
      </c>
      <c r="G97" s="2" t="s">
        <v>89</v>
      </c>
      <c r="H97" s="2" t="s">
        <v>216</v>
      </c>
    </row>
    <row r="98" spans="1:8" ht="18">
      <c r="A98" s="4" t="s">
        <v>213</v>
      </c>
      <c r="B98" s="4" t="s">
        <v>54</v>
      </c>
      <c r="C98" s="10">
        <v>46065</v>
      </c>
      <c r="D98" s="18">
        <f t="shared" si="1"/>
        <v>2026</v>
      </c>
      <c r="E98" s="25">
        <v>4.99</v>
      </c>
      <c r="F98" s="46" t="s">
        <v>186</v>
      </c>
      <c r="G98" s="2" t="s">
        <v>89</v>
      </c>
      <c r="H98" s="2" t="s">
        <v>217</v>
      </c>
    </row>
    <row r="99" spans="1:8" ht="18">
      <c r="A99" s="4" t="s">
        <v>215</v>
      </c>
      <c r="B99" s="4" t="s">
        <v>54</v>
      </c>
      <c r="C99" s="10">
        <v>46079</v>
      </c>
      <c r="D99" s="18">
        <f t="shared" si="1"/>
        <v>2026</v>
      </c>
      <c r="E99" s="25">
        <v>4.99</v>
      </c>
      <c r="F99" s="46" t="s">
        <v>186</v>
      </c>
      <c r="G99" s="2" t="s">
        <v>89</v>
      </c>
      <c r="H99" s="2" t="s">
        <v>218</v>
      </c>
    </row>
    <row r="100" spans="1:8" ht="18">
      <c r="A100" s="4" t="s">
        <v>197</v>
      </c>
      <c r="B100" s="4" t="s">
        <v>190</v>
      </c>
      <c r="C100" s="15">
        <v>41884</v>
      </c>
      <c r="D100" s="18">
        <f t="shared" si="1"/>
        <v>2014</v>
      </c>
      <c r="E100" s="26">
        <v>59.99</v>
      </c>
      <c r="F100" s="16" t="s">
        <v>187</v>
      </c>
      <c r="G100" s="2" t="s">
        <v>194</v>
      </c>
      <c r="H100" s="2" t="s">
        <v>191</v>
      </c>
    </row>
    <row r="101" spans="1:8" ht="18">
      <c r="C101" s="13"/>
      <c r="D101" s="19"/>
      <c r="E101" s="27"/>
      <c r="F101" s="7"/>
      <c r="G101" s="2"/>
      <c r="H101" s="2"/>
    </row>
    <row r="102" spans="1:8">
      <c r="B102" s="27">
        <f>SUM(E55:E99)</f>
        <v>228.55000000000013</v>
      </c>
      <c r="C102" s="13"/>
      <c r="D102" s="19"/>
      <c r="E102" s="27"/>
      <c r="F102" s="7"/>
    </row>
    <row r="103" spans="1:8">
      <c r="C103" s="13"/>
      <c r="D103" s="19"/>
      <c r="E103" s="27">
        <f>SUM(E2:E100)</f>
        <v>1568.0100000000007</v>
      </c>
      <c r="F103" s="7"/>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E3594-62D4-A549-B503-0BE30EA953A3}">
  <dimension ref="A1:H104"/>
  <sheetViews>
    <sheetView zoomScale="72" workbookViewId="0">
      <pane ySplit="1" topLeftCell="A72" activePane="bottomLeft" state="frozen"/>
      <selection pane="bottomLeft" activeCell="D94" sqref="D94"/>
    </sheetView>
  </sheetViews>
  <sheetFormatPr defaultColWidth="11.19921875" defaultRowHeight="15.6"/>
  <cols>
    <col min="1" max="1" width="27.796875" bestFit="1" customWidth="1"/>
    <col min="2" max="2" width="18.69921875" customWidth="1"/>
    <col min="3" max="3" width="21.69921875" style="13" customWidth="1"/>
    <col min="4" max="4" width="21.69921875" style="19" customWidth="1"/>
    <col min="5" max="5" width="20.59765625" style="27" bestFit="1" customWidth="1"/>
    <col min="6" max="6" width="20.59765625" style="7" customWidth="1"/>
    <col min="7" max="7" width="36.796875" customWidth="1"/>
    <col min="8" max="8" width="87.296875" customWidth="1"/>
  </cols>
  <sheetData>
    <row r="1" spans="1:8" ht="21">
      <c r="A1" s="3" t="s">
        <v>84</v>
      </c>
      <c r="B1" s="3" t="s">
        <v>85</v>
      </c>
      <c r="C1" s="11" t="s">
        <v>86</v>
      </c>
      <c r="D1" s="17" t="s">
        <v>87</v>
      </c>
      <c r="E1" s="22" t="s">
        <v>192</v>
      </c>
      <c r="F1" s="5" t="s">
        <v>199</v>
      </c>
      <c r="G1" s="3" t="s">
        <v>412</v>
      </c>
      <c r="H1" s="9" t="s">
        <v>110</v>
      </c>
    </row>
    <row r="2" spans="1:8" ht="18">
      <c r="A2" s="1" t="s">
        <v>88</v>
      </c>
      <c r="B2" s="1" t="s">
        <v>211</v>
      </c>
      <c r="C2" s="12">
        <v>42094</v>
      </c>
      <c r="D2" s="18">
        <f>YEAR(C2)</f>
        <v>2015</v>
      </c>
      <c r="E2" s="23">
        <v>39.99</v>
      </c>
      <c r="F2" s="6" t="s">
        <v>186</v>
      </c>
      <c r="G2" s="2" t="s">
        <v>194</v>
      </c>
      <c r="H2" s="2" t="s">
        <v>90</v>
      </c>
    </row>
    <row r="3" spans="1:8" ht="18">
      <c r="A3" s="1" t="s">
        <v>0</v>
      </c>
      <c r="B3" s="1" t="s">
        <v>211</v>
      </c>
      <c r="C3" s="12">
        <v>42346</v>
      </c>
      <c r="D3" s="18">
        <f t="shared" ref="D3:D66" si="0">YEAR(C3)</f>
        <v>2015</v>
      </c>
      <c r="E3" s="23">
        <v>39.99</v>
      </c>
      <c r="F3" s="6" t="s">
        <v>186</v>
      </c>
      <c r="G3" s="2" t="s">
        <v>194</v>
      </c>
      <c r="H3" s="2" t="s">
        <v>91</v>
      </c>
    </row>
    <row r="4" spans="1:8" ht="18">
      <c r="A4" s="1" t="s">
        <v>1</v>
      </c>
      <c r="B4" s="1" t="s">
        <v>211</v>
      </c>
      <c r="C4" s="12">
        <v>42675</v>
      </c>
      <c r="D4" s="18">
        <f t="shared" si="0"/>
        <v>2016</v>
      </c>
      <c r="E4" s="23">
        <v>39.99</v>
      </c>
      <c r="F4" s="6" t="s">
        <v>186</v>
      </c>
      <c r="G4" s="2" t="s">
        <v>194</v>
      </c>
      <c r="H4" s="2" t="s">
        <v>92</v>
      </c>
    </row>
    <row r="5" spans="1:8" ht="18">
      <c r="A5" s="1" t="s">
        <v>2</v>
      </c>
      <c r="B5" s="1" t="s">
        <v>211</v>
      </c>
      <c r="C5" s="12">
        <v>43049</v>
      </c>
      <c r="D5" s="18">
        <f t="shared" si="0"/>
        <v>2017</v>
      </c>
      <c r="E5" s="23">
        <v>39.99</v>
      </c>
      <c r="F5" s="6" t="s">
        <v>186</v>
      </c>
      <c r="G5" s="2" t="s">
        <v>194</v>
      </c>
      <c r="H5" s="2" t="s">
        <v>93</v>
      </c>
    </row>
    <row r="6" spans="1:8" ht="18">
      <c r="A6" s="1" t="s">
        <v>3</v>
      </c>
      <c r="B6" s="1" t="s">
        <v>211</v>
      </c>
      <c r="C6" s="12">
        <v>43273</v>
      </c>
      <c r="D6" s="18">
        <f t="shared" si="0"/>
        <v>2018</v>
      </c>
      <c r="E6" s="23">
        <v>39.99</v>
      </c>
      <c r="F6" s="6" t="s">
        <v>186</v>
      </c>
      <c r="G6" s="2" t="s">
        <v>194</v>
      </c>
      <c r="H6" s="2" t="s">
        <v>94</v>
      </c>
    </row>
    <row r="7" spans="1:8" ht="18">
      <c r="A7" s="1" t="s">
        <v>4</v>
      </c>
      <c r="B7" s="1" t="s">
        <v>211</v>
      </c>
      <c r="C7" s="12">
        <v>43420</v>
      </c>
      <c r="D7" s="18">
        <f t="shared" si="0"/>
        <v>2018</v>
      </c>
      <c r="E7" s="23">
        <v>39.99</v>
      </c>
      <c r="F7" s="6" t="s">
        <v>186</v>
      </c>
      <c r="G7" s="2" t="s">
        <v>194</v>
      </c>
      <c r="H7" s="2" t="s">
        <v>95</v>
      </c>
    </row>
    <row r="8" spans="1:8" ht="18">
      <c r="A8" s="1" t="s">
        <v>5</v>
      </c>
      <c r="B8" s="1" t="s">
        <v>211</v>
      </c>
      <c r="C8" s="12">
        <v>43637</v>
      </c>
      <c r="D8" s="18">
        <f t="shared" si="0"/>
        <v>2019</v>
      </c>
      <c r="E8" s="23">
        <v>39.99</v>
      </c>
      <c r="F8" s="6" t="s">
        <v>186</v>
      </c>
      <c r="G8" s="2" t="s">
        <v>194</v>
      </c>
      <c r="H8" s="2" t="s">
        <v>96</v>
      </c>
    </row>
    <row r="9" spans="1:8" ht="18">
      <c r="A9" s="1" t="s">
        <v>6</v>
      </c>
      <c r="B9" s="1" t="s">
        <v>211</v>
      </c>
      <c r="C9" s="12">
        <v>43784</v>
      </c>
      <c r="D9" s="18">
        <f t="shared" si="0"/>
        <v>2019</v>
      </c>
      <c r="E9" s="23">
        <v>39.99</v>
      </c>
      <c r="F9" s="6" t="s">
        <v>186</v>
      </c>
      <c r="G9" s="2" t="s">
        <v>194</v>
      </c>
      <c r="H9" s="2" t="s">
        <v>97</v>
      </c>
    </row>
    <row r="10" spans="1:8" ht="18">
      <c r="A10" s="1" t="s">
        <v>7</v>
      </c>
      <c r="B10" s="1" t="s">
        <v>211</v>
      </c>
      <c r="C10" s="12">
        <v>43987</v>
      </c>
      <c r="D10" s="18">
        <f t="shared" si="0"/>
        <v>2020</v>
      </c>
      <c r="E10" s="23">
        <v>39.99</v>
      </c>
      <c r="F10" s="6" t="s">
        <v>186</v>
      </c>
      <c r="G10" s="2" t="s">
        <v>194</v>
      </c>
      <c r="H10" s="2" t="s">
        <v>98</v>
      </c>
    </row>
    <row r="11" spans="1:8" ht="18">
      <c r="A11" s="1" t="s">
        <v>8</v>
      </c>
      <c r="B11" s="1" t="s">
        <v>211</v>
      </c>
      <c r="C11" s="12">
        <v>44148</v>
      </c>
      <c r="D11" s="18">
        <f t="shared" si="0"/>
        <v>2020</v>
      </c>
      <c r="E11" s="23">
        <v>39.99</v>
      </c>
      <c r="F11" s="6" t="s">
        <v>186</v>
      </c>
      <c r="G11" s="2" t="s">
        <v>194</v>
      </c>
      <c r="H11" s="2" t="s">
        <v>99</v>
      </c>
    </row>
    <row r="12" spans="1:8" ht="18">
      <c r="A12" s="1" t="s">
        <v>9</v>
      </c>
      <c r="B12" s="1" t="s">
        <v>211</v>
      </c>
      <c r="C12" s="12">
        <v>44399</v>
      </c>
      <c r="D12" s="18">
        <f t="shared" si="0"/>
        <v>2021</v>
      </c>
      <c r="E12" s="23">
        <v>39.99</v>
      </c>
      <c r="F12" s="6" t="s">
        <v>186</v>
      </c>
      <c r="G12" s="2" t="s">
        <v>194</v>
      </c>
      <c r="H12" s="2" t="s">
        <v>100</v>
      </c>
    </row>
    <row r="13" spans="1:8" ht="18">
      <c r="A13" s="1" t="s">
        <v>10</v>
      </c>
      <c r="B13" s="1" t="s">
        <v>211</v>
      </c>
      <c r="C13" s="12">
        <v>44770</v>
      </c>
      <c r="D13" s="18">
        <f t="shared" si="0"/>
        <v>2022</v>
      </c>
      <c r="E13" s="23">
        <v>39.99</v>
      </c>
      <c r="F13" s="6" t="s">
        <v>186</v>
      </c>
      <c r="G13" s="2" t="s">
        <v>194</v>
      </c>
      <c r="H13" s="2" t="s">
        <v>101</v>
      </c>
    </row>
    <row r="14" spans="1:8" ht="18">
      <c r="A14" s="1" t="s">
        <v>11</v>
      </c>
      <c r="B14" s="1" t="s">
        <v>211</v>
      </c>
      <c r="C14" s="12">
        <v>45001</v>
      </c>
      <c r="D14" s="18">
        <f t="shared" si="0"/>
        <v>2023</v>
      </c>
      <c r="E14" s="23">
        <v>39.99</v>
      </c>
      <c r="F14" s="6" t="s">
        <v>186</v>
      </c>
      <c r="G14" s="2" t="s">
        <v>194</v>
      </c>
      <c r="H14" s="2" t="s">
        <v>102</v>
      </c>
    </row>
    <row r="15" spans="1:8" ht="18">
      <c r="A15" s="1" t="s">
        <v>12</v>
      </c>
      <c r="B15" s="1" t="s">
        <v>211</v>
      </c>
      <c r="C15" s="12">
        <v>45127</v>
      </c>
      <c r="D15" s="18">
        <f t="shared" si="0"/>
        <v>2023</v>
      </c>
      <c r="E15" s="23">
        <v>39.99</v>
      </c>
      <c r="F15" s="6" t="s">
        <v>186</v>
      </c>
      <c r="G15" s="2" t="s">
        <v>194</v>
      </c>
      <c r="H15" s="2" t="s">
        <v>103</v>
      </c>
    </row>
    <row r="16" spans="1:8" ht="18">
      <c r="A16" s="1" t="s">
        <v>13</v>
      </c>
      <c r="B16" s="1" t="s">
        <v>211</v>
      </c>
      <c r="C16" s="12">
        <v>45267</v>
      </c>
      <c r="D16" s="18">
        <f t="shared" si="0"/>
        <v>2023</v>
      </c>
      <c r="E16" s="23">
        <v>39.99</v>
      </c>
      <c r="F16" s="6" t="s">
        <v>186</v>
      </c>
      <c r="G16" s="2" t="s">
        <v>194</v>
      </c>
      <c r="H16" s="2" t="s">
        <v>104</v>
      </c>
    </row>
    <row r="17" spans="1:8" ht="18">
      <c r="A17" s="1" t="s">
        <v>14</v>
      </c>
      <c r="B17" s="1" t="s">
        <v>211</v>
      </c>
      <c r="C17" s="12">
        <v>45498</v>
      </c>
      <c r="D17" s="18">
        <f t="shared" si="0"/>
        <v>2024</v>
      </c>
      <c r="E17" s="23">
        <v>39.99</v>
      </c>
      <c r="F17" s="6" t="s">
        <v>186</v>
      </c>
      <c r="G17" s="2" t="s">
        <v>194</v>
      </c>
      <c r="H17" s="2" t="s">
        <v>105</v>
      </c>
    </row>
    <row r="18" spans="1:8" ht="18">
      <c r="A18" s="1" t="s">
        <v>15</v>
      </c>
      <c r="B18" s="1" t="s">
        <v>211</v>
      </c>
      <c r="C18" s="12">
        <v>45596</v>
      </c>
      <c r="D18" s="18">
        <f t="shared" si="0"/>
        <v>2024</v>
      </c>
      <c r="E18" s="23">
        <v>39.99</v>
      </c>
      <c r="F18" s="6" t="s">
        <v>186</v>
      </c>
      <c r="G18" s="2" t="s">
        <v>194</v>
      </c>
      <c r="H18" s="2" t="s">
        <v>106</v>
      </c>
    </row>
    <row r="19" spans="1:8" ht="18">
      <c r="A19" s="1" t="s">
        <v>16</v>
      </c>
      <c r="B19" s="1" t="s">
        <v>211</v>
      </c>
      <c r="C19" s="12">
        <v>45722</v>
      </c>
      <c r="D19" s="18">
        <f t="shared" si="0"/>
        <v>2025</v>
      </c>
      <c r="E19" s="23">
        <v>39.99</v>
      </c>
      <c r="F19" s="6" t="s">
        <v>186</v>
      </c>
      <c r="G19" s="2" t="s">
        <v>194</v>
      </c>
      <c r="H19" s="2" t="s">
        <v>107</v>
      </c>
    </row>
    <row r="20" spans="1:8" ht="18">
      <c r="A20" s="1" t="s">
        <v>17</v>
      </c>
      <c r="B20" s="1" t="s">
        <v>211</v>
      </c>
      <c r="C20" s="12">
        <v>45848</v>
      </c>
      <c r="D20" s="18">
        <f t="shared" si="0"/>
        <v>2025</v>
      </c>
      <c r="E20" s="23">
        <v>39.99</v>
      </c>
      <c r="F20" s="6" t="s">
        <v>186</v>
      </c>
      <c r="G20" s="2" t="s">
        <v>194</v>
      </c>
      <c r="H20" s="2" t="s">
        <v>109</v>
      </c>
    </row>
    <row r="21" spans="1:8" ht="18">
      <c r="A21" s="1" t="s">
        <v>18</v>
      </c>
      <c r="B21" s="1" t="s">
        <v>211</v>
      </c>
      <c r="C21" s="12">
        <v>45932</v>
      </c>
      <c r="D21" s="18">
        <f t="shared" si="0"/>
        <v>2025</v>
      </c>
      <c r="E21" s="23">
        <v>39.99</v>
      </c>
      <c r="F21" s="6" t="s">
        <v>186</v>
      </c>
      <c r="G21" s="2" t="s">
        <v>194</v>
      </c>
      <c r="H21" s="2" t="s">
        <v>108</v>
      </c>
    </row>
    <row r="22" spans="1:8" ht="18">
      <c r="A22" s="1" t="s">
        <v>195</v>
      </c>
      <c r="B22" s="1" t="s">
        <v>211</v>
      </c>
      <c r="C22" s="12">
        <v>46307</v>
      </c>
      <c r="D22" s="18">
        <f t="shared" si="0"/>
        <v>2026</v>
      </c>
      <c r="E22" s="23">
        <v>39.99</v>
      </c>
      <c r="F22" s="6" t="s">
        <v>186</v>
      </c>
      <c r="G22" s="2" t="s">
        <v>194</v>
      </c>
      <c r="H22" s="2" t="s">
        <v>198</v>
      </c>
    </row>
    <row r="23" spans="1:8" ht="18">
      <c r="A23" s="4" t="s">
        <v>19</v>
      </c>
      <c r="B23" s="4" t="s">
        <v>20</v>
      </c>
      <c r="C23" s="10">
        <v>42017</v>
      </c>
      <c r="D23" s="18">
        <f t="shared" si="0"/>
        <v>2015</v>
      </c>
      <c r="E23" s="24">
        <v>19.989999999999998</v>
      </c>
      <c r="F23" s="14" t="s">
        <v>186</v>
      </c>
      <c r="G23" s="2" t="s">
        <v>194</v>
      </c>
      <c r="H23" s="2" t="s">
        <v>111</v>
      </c>
    </row>
    <row r="24" spans="1:8" ht="18">
      <c r="A24" s="4" t="s">
        <v>21</v>
      </c>
      <c r="B24" s="4" t="s">
        <v>20</v>
      </c>
      <c r="C24" s="10">
        <v>42199</v>
      </c>
      <c r="D24" s="18">
        <f t="shared" si="0"/>
        <v>2015</v>
      </c>
      <c r="E24" s="24">
        <v>19.989999999999998</v>
      </c>
      <c r="F24" s="6" t="s">
        <v>186</v>
      </c>
      <c r="G24" s="2" t="s">
        <v>89</v>
      </c>
      <c r="H24" s="2" t="s">
        <v>112</v>
      </c>
    </row>
    <row r="25" spans="1:8" ht="18">
      <c r="A25" s="4" t="s">
        <v>22</v>
      </c>
      <c r="B25" s="4" t="s">
        <v>20</v>
      </c>
      <c r="C25" s="10">
        <v>42528</v>
      </c>
      <c r="D25" s="18">
        <f t="shared" si="0"/>
        <v>2016</v>
      </c>
      <c r="E25" s="24">
        <v>19.989999999999998</v>
      </c>
      <c r="F25" s="6" t="s">
        <v>186</v>
      </c>
      <c r="G25" s="2" t="s">
        <v>194</v>
      </c>
      <c r="H25" s="2" t="s">
        <v>113</v>
      </c>
    </row>
    <row r="26" spans="1:8" ht="18">
      <c r="A26" s="4" t="s">
        <v>23</v>
      </c>
      <c r="B26" s="4" t="s">
        <v>20</v>
      </c>
      <c r="C26" s="10">
        <v>42759</v>
      </c>
      <c r="D26" s="18">
        <f t="shared" si="0"/>
        <v>2017</v>
      </c>
      <c r="E26" s="24">
        <v>19.989999999999998</v>
      </c>
      <c r="F26" s="6" t="s">
        <v>186</v>
      </c>
      <c r="G26" s="2" t="s">
        <v>194</v>
      </c>
      <c r="H26" s="2" t="s">
        <v>114</v>
      </c>
    </row>
    <row r="27" spans="1:8" ht="18">
      <c r="A27" s="4" t="s">
        <v>24</v>
      </c>
      <c r="B27" s="4" t="s">
        <v>20</v>
      </c>
      <c r="C27" s="10">
        <v>42885</v>
      </c>
      <c r="D27" s="18">
        <f t="shared" si="0"/>
        <v>2017</v>
      </c>
      <c r="E27" s="24">
        <v>19.989999999999998</v>
      </c>
      <c r="F27" s="6" t="s">
        <v>186</v>
      </c>
      <c r="G27" s="2" t="s">
        <v>194</v>
      </c>
      <c r="H27" s="2" t="s">
        <v>115</v>
      </c>
    </row>
    <row r="28" spans="1:8" ht="18">
      <c r="A28" s="4" t="s">
        <v>25</v>
      </c>
      <c r="B28" s="4" t="s">
        <v>20</v>
      </c>
      <c r="C28" s="10">
        <v>43158</v>
      </c>
      <c r="D28" s="18">
        <f t="shared" si="0"/>
        <v>2018</v>
      </c>
      <c r="E28" s="24">
        <v>19.989999999999998</v>
      </c>
      <c r="F28" s="6" t="s">
        <v>186</v>
      </c>
      <c r="G28" s="2" t="s">
        <v>194</v>
      </c>
      <c r="H28" s="2" t="s">
        <v>116</v>
      </c>
    </row>
    <row r="29" spans="1:8" ht="18">
      <c r="A29" s="4" t="s">
        <v>26</v>
      </c>
      <c r="B29" s="4" t="s">
        <v>20</v>
      </c>
      <c r="C29" s="10">
        <v>43522</v>
      </c>
      <c r="D29" s="18">
        <f t="shared" si="0"/>
        <v>2019</v>
      </c>
      <c r="E29" s="24">
        <v>19.989999999999998</v>
      </c>
      <c r="F29" s="6" t="s">
        <v>186</v>
      </c>
      <c r="G29" s="2" t="s">
        <v>194</v>
      </c>
      <c r="H29" s="2" t="s">
        <v>117</v>
      </c>
    </row>
    <row r="30" spans="1:8" ht="18">
      <c r="A30" s="4" t="s">
        <v>27</v>
      </c>
      <c r="B30" s="4" t="s">
        <v>20</v>
      </c>
      <c r="C30" s="10">
        <v>43718</v>
      </c>
      <c r="D30" s="18">
        <f t="shared" si="0"/>
        <v>2019</v>
      </c>
      <c r="E30" s="24">
        <v>19.989999999999998</v>
      </c>
      <c r="F30" s="6" t="s">
        <v>186</v>
      </c>
      <c r="G30" s="2" t="s">
        <v>194</v>
      </c>
      <c r="H30" s="2" t="s">
        <v>118</v>
      </c>
    </row>
    <row r="31" spans="1:8" ht="18">
      <c r="A31" s="4" t="s">
        <v>28</v>
      </c>
      <c r="B31" s="4" t="s">
        <v>20</v>
      </c>
      <c r="C31" s="10">
        <v>44082</v>
      </c>
      <c r="D31" s="18">
        <f t="shared" si="0"/>
        <v>2020</v>
      </c>
      <c r="E31" s="24">
        <v>19.989999999999998</v>
      </c>
      <c r="F31" s="6" t="s">
        <v>186</v>
      </c>
      <c r="G31" s="2" t="s">
        <v>89</v>
      </c>
      <c r="H31" s="2" t="s">
        <v>119</v>
      </c>
    </row>
    <row r="32" spans="1:8" ht="18">
      <c r="A32" s="4" t="s">
        <v>29</v>
      </c>
      <c r="B32" s="4" t="s">
        <v>20</v>
      </c>
      <c r="C32" s="10">
        <v>44348</v>
      </c>
      <c r="D32" s="18">
        <f t="shared" si="0"/>
        <v>2021</v>
      </c>
      <c r="E32" s="24">
        <v>19.989999999999998</v>
      </c>
      <c r="F32" s="6" t="s">
        <v>186</v>
      </c>
      <c r="G32" s="2" t="s">
        <v>89</v>
      </c>
      <c r="H32" s="2" t="s">
        <v>120</v>
      </c>
    </row>
    <row r="33" spans="1:8" ht="18">
      <c r="A33" s="4" t="s">
        <v>30</v>
      </c>
      <c r="B33" s="4" t="s">
        <v>20</v>
      </c>
      <c r="C33" s="10">
        <v>44615</v>
      </c>
      <c r="D33" s="18">
        <f t="shared" si="0"/>
        <v>2022</v>
      </c>
      <c r="E33" s="24">
        <v>19.989999999999998</v>
      </c>
      <c r="F33" s="6" t="s">
        <v>186</v>
      </c>
      <c r="G33" s="2" t="s">
        <v>194</v>
      </c>
      <c r="H33" s="2" t="s">
        <v>121</v>
      </c>
    </row>
    <row r="34" spans="1:8" ht="18">
      <c r="A34" s="4" t="s">
        <v>31</v>
      </c>
      <c r="B34" s="4" t="s">
        <v>20</v>
      </c>
      <c r="C34" s="10">
        <v>44728</v>
      </c>
      <c r="D34" s="18">
        <f t="shared" si="0"/>
        <v>2022</v>
      </c>
      <c r="E34" s="24">
        <v>19.989999999999998</v>
      </c>
      <c r="F34" s="6" t="s">
        <v>186</v>
      </c>
      <c r="G34" s="2" t="s">
        <v>194</v>
      </c>
      <c r="H34" s="2" t="s">
        <v>122</v>
      </c>
    </row>
    <row r="35" spans="1:8" ht="18">
      <c r="A35" s="4" t="s">
        <v>32</v>
      </c>
      <c r="B35" s="4" t="s">
        <v>33</v>
      </c>
      <c r="C35" s="10">
        <v>42143</v>
      </c>
      <c r="D35" s="18">
        <f t="shared" si="0"/>
        <v>2015</v>
      </c>
      <c r="E35" s="24">
        <v>9.99</v>
      </c>
      <c r="F35" s="6" t="s">
        <v>186</v>
      </c>
      <c r="G35" s="2" t="s">
        <v>89</v>
      </c>
      <c r="H35" s="2" t="s">
        <v>123</v>
      </c>
    </row>
    <row r="36" spans="1:8" ht="18">
      <c r="A36" s="4" t="s">
        <v>34</v>
      </c>
      <c r="B36" s="4" t="s">
        <v>33</v>
      </c>
      <c r="C36" s="10">
        <v>42171</v>
      </c>
      <c r="D36" s="18">
        <f t="shared" si="0"/>
        <v>2015</v>
      </c>
      <c r="E36" s="24">
        <v>9.99</v>
      </c>
      <c r="F36" s="6" t="s">
        <v>186</v>
      </c>
      <c r="G36" s="2" t="s">
        <v>89</v>
      </c>
      <c r="H36" s="2" t="s">
        <v>196</v>
      </c>
    </row>
    <row r="37" spans="1:8" ht="18">
      <c r="A37" s="4" t="s">
        <v>35</v>
      </c>
      <c r="B37" s="4" t="s">
        <v>33</v>
      </c>
      <c r="C37" s="10">
        <v>42227</v>
      </c>
      <c r="D37" s="18">
        <f t="shared" si="0"/>
        <v>2015</v>
      </c>
      <c r="E37" s="24">
        <v>9.99</v>
      </c>
      <c r="F37" s="6" t="s">
        <v>186</v>
      </c>
      <c r="G37" s="2" t="s">
        <v>89</v>
      </c>
      <c r="H37" s="2" t="s">
        <v>124</v>
      </c>
    </row>
    <row r="38" spans="1:8" ht="18">
      <c r="A38" s="4" t="s">
        <v>36</v>
      </c>
      <c r="B38" s="4" t="s">
        <v>33</v>
      </c>
      <c r="C38" s="10">
        <v>42276</v>
      </c>
      <c r="D38" s="18">
        <f t="shared" si="0"/>
        <v>2015</v>
      </c>
      <c r="E38" s="24">
        <v>9.99</v>
      </c>
      <c r="F38" s="6" t="s">
        <v>186</v>
      </c>
      <c r="G38" s="2" t="s">
        <v>89</v>
      </c>
      <c r="H38" s="2" t="s">
        <v>125</v>
      </c>
    </row>
    <row r="39" spans="1:8" ht="18">
      <c r="A39" s="4" t="s">
        <v>37</v>
      </c>
      <c r="B39" s="4" t="s">
        <v>33</v>
      </c>
      <c r="C39" s="10">
        <v>42381</v>
      </c>
      <c r="D39" s="18">
        <f t="shared" si="0"/>
        <v>2016</v>
      </c>
      <c r="E39" s="24">
        <v>9.99</v>
      </c>
      <c r="F39" s="6" t="s">
        <v>186</v>
      </c>
      <c r="G39" s="2" t="s">
        <v>89</v>
      </c>
      <c r="H39" s="2" t="s">
        <v>126</v>
      </c>
    </row>
    <row r="40" spans="1:8" ht="18">
      <c r="A40" s="4" t="s">
        <v>38</v>
      </c>
      <c r="B40" s="4" t="s">
        <v>33</v>
      </c>
      <c r="C40" s="10">
        <v>42409</v>
      </c>
      <c r="D40" s="18">
        <f t="shared" si="0"/>
        <v>2016</v>
      </c>
      <c r="E40" s="24">
        <v>9.99</v>
      </c>
      <c r="F40" s="6" t="s">
        <v>186</v>
      </c>
      <c r="G40" s="2" t="s">
        <v>89</v>
      </c>
      <c r="H40" s="2" t="s">
        <v>127</v>
      </c>
    </row>
    <row r="41" spans="1:8" ht="18">
      <c r="A41" s="4" t="s">
        <v>39</v>
      </c>
      <c r="B41" s="4" t="s">
        <v>33</v>
      </c>
      <c r="C41" s="10">
        <v>42549</v>
      </c>
      <c r="D41" s="18">
        <f t="shared" si="0"/>
        <v>2016</v>
      </c>
      <c r="E41" s="24">
        <v>9.99</v>
      </c>
      <c r="F41" s="6" t="s">
        <v>186</v>
      </c>
      <c r="G41" s="2" t="s">
        <v>89</v>
      </c>
      <c r="H41" s="2" t="s">
        <v>128</v>
      </c>
    </row>
    <row r="42" spans="1:8" ht="18">
      <c r="A42" s="4" t="s">
        <v>40</v>
      </c>
      <c r="B42" s="4" t="s">
        <v>33</v>
      </c>
      <c r="C42" s="10">
        <v>42570</v>
      </c>
      <c r="D42" s="18">
        <f t="shared" si="0"/>
        <v>2016</v>
      </c>
      <c r="E42" s="24">
        <v>9.99</v>
      </c>
      <c r="F42" s="6" t="s">
        <v>186</v>
      </c>
      <c r="G42" s="2" t="s">
        <v>89</v>
      </c>
      <c r="H42" s="2" t="s">
        <v>129</v>
      </c>
    </row>
    <row r="43" spans="1:8" ht="18">
      <c r="A43" s="4" t="s">
        <v>41</v>
      </c>
      <c r="B43" s="4" t="s">
        <v>33</v>
      </c>
      <c r="C43" s="10">
        <v>42710</v>
      </c>
      <c r="D43" s="18">
        <f t="shared" si="0"/>
        <v>2016</v>
      </c>
      <c r="E43" s="24">
        <v>9.99</v>
      </c>
      <c r="F43" s="6" t="s">
        <v>186</v>
      </c>
      <c r="G43" s="2" t="s">
        <v>89</v>
      </c>
      <c r="H43" s="2" t="s">
        <v>130</v>
      </c>
    </row>
    <row r="44" spans="1:8" ht="18">
      <c r="A44" s="4" t="s">
        <v>42</v>
      </c>
      <c r="B44" s="4" t="s">
        <v>33</v>
      </c>
      <c r="C44" s="10">
        <v>42823</v>
      </c>
      <c r="D44" s="18">
        <f t="shared" si="0"/>
        <v>2017</v>
      </c>
      <c r="E44" s="24">
        <v>9.99</v>
      </c>
      <c r="F44" s="6" t="s">
        <v>186</v>
      </c>
      <c r="G44" s="2" t="s">
        <v>194</v>
      </c>
      <c r="H44" s="2" t="s">
        <v>131</v>
      </c>
    </row>
    <row r="45" spans="1:8" ht="18">
      <c r="A45" s="4" t="s">
        <v>43</v>
      </c>
      <c r="B45" s="4" t="s">
        <v>33</v>
      </c>
      <c r="C45" s="10">
        <v>42906</v>
      </c>
      <c r="D45" s="18">
        <f t="shared" si="0"/>
        <v>2017</v>
      </c>
      <c r="E45" s="24">
        <v>9.99</v>
      </c>
      <c r="F45" s="6" t="s">
        <v>186</v>
      </c>
      <c r="G45" s="2" t="s">
        <v>194</v>
      </c>
      <c r="H45" s="2" t="s">
        <v>132</v>
      </c>
    </row>
    <row r="46" spans="1:8" ht="18">
      <c r="A46" s="4" t="s">
        <v>44</v>
      </c>
      <c r="B46" s="4" t="s">
        <v>33</v>
      </c>
      <c r="C46" s="10">
        <v>42971</v>
      </c>
      <c r="D46" s="18">
        <f t="shared" si="0"/>
        <v>2017</v>
      </c>
      <c r="E46" s="24">
        <v>9.99</v>
      </c>
      <c r="F46" s="6" t="s">
        <v>186</v>
      </c>
      <c r="G46" s="2" t="s">
        <v>89</v>
      </c>
      <c r="H46" s="2" t="s">
        <v>133</v>
      </c>
    </row>
    <row r="47" spans="1:8" ht="18">
      <c r="A47" s="4" t="s">
        <v>45</v>
      </c>
      <c r="B47" s="4" t="s">
        <v>33</v>
      </c>
      <c r="C47" s="10">
        <v>43116</v>
      </c>
      <c r="D47" s="18">
        <f t="shared" si="0"/>
        <v>2018</v>
      </c>
      <c r="E47" s="24">
        <v>9.99</v>
      </c>
      <c r="F47" s="6" t="s">
        <v>186</v>
      </c>
      <c r="G47" s="2" t="s">
        <v>194</v>
      </c>
      <c r="H47" s="2" t="s">
        <v>134</v>
      </c>
    </row>
    <row r="48" spans="1:8" ht="18">
      <c r="A48" s="4" t="s">
        <v>46</v>
      </c>
      <c r="B48" s="4" t="s">
        <v>33</v>
      </c>
      <c r="C48" s="10">
        <v>43172</v>
      </c>
      <c r="D48" s="18">
        <f t="shared" si="0"/>
        <v>2018</v>
      </c>
      <c r="E48" s="24">
        <v>9.99</v>
      </c>
      <c r="F48" s="6" t="s">
        <v>186</v>
      </c>
      <c r="G48" s="2" t="s">
        <v>89</v>
      </c>
      <c r="H48" s="2" t="s">
        <v>135</v>
      </c>
    </row>
    <row r="49" spans="1:8" ht="18">
      <c r="A49" s="4" t="s">
        <v>47</v>
      </c>
      <c r="B49" s="4" t="s">
        <v>33</v>
      </c>
      <c r="C49" s="10">
        <v>43690</v>
      </c>
      <c r="D49" s="18">
        <f t="shared" si="0"/>
        <v>2019</v>
      </c>
      <c r="E49" s="24">
        <v>9.99</v>
      </c>
      <c r="F49" s="6" t="s">
        <v>186</v>
      </c>
      <c r="G49" s="2" t="s">
        <v>89</v>
      </c>
      <c r="H49" s="2" t="s">
        <v>136</v>
      </c>
    </row>
    <row r="50" spans="1:8" ht="18">
      <c r="A50" s="4" t="s">
        <v>48</v>
      </c>
      <c r="B50" s="4" t="s">
        <v>33</v>
      </c>
      <c r="C50" s="10">
        <v>43851</v>
      </c>
      <c r="D50" s="18">
        <f t="shared" si="0"/>
        <v>2020</v>
      </c>
      <c r="E50" s="24">
        <v>9.99</v>
      </c>
      <c r="F50" s="6" t="s">
        <v>186</v>
      </c>
      <c r="G50" s="2" t="s">
        <v>194</v>
      </c>
      <c r="H50" s="2" t="s">
        <v>137</v>
      </c>
    </row>
    <row r="51" spans="1:8" ht="18">
      <c r="A51" s="4" t="s">
        <v>49</v>
      </c>
      <c r="B51" s="4" t="s">
        <v>33</v>
      </c>
      <c r="C51" s="10">
        <v>44040</v>
      </c>
      <c r="D51" s="18">
        <f t="shared" si="0"/>
        <v>2020</v>
      </c>
      <c r="E51" s="24">
        <v>9.99</v>
      </c>
      <c r="F51" s="6" t="s">
        <v>186</v>
      </c>
      <c r="G51" s="2" t="s">
        <v>194</v>
      </c>
      <c r="H51" s="2" t="s">
        <v>138</v>
      </c>
    </row>
    <row r="52" spans="1:8" ht="18">
      <c r="A52" s="4" t="s">
        <v>50</v>
      </c>
      <c r="B52" s="4" t="s">
        <v>33</v>
      </c>
      <c r="C52" s="10">
        <v>44222</v>
      </c>
      <c r="D52" s="18">
        <f t="shared" si="0"/>
        <v>2021</v>
      </c>
      <c r="E52" s="24">
        <v>9.99</v>
      </c>
      <c r="F52" s="6" t="s">
        <v>186</v>
      </c>
      <c r="G52" s="2" t="s">
        <v>194</v>
      </c>
      <c r="H52" s="2" t="s">
        <v>139</v>
      </c>
    </row>
    <row r="53" spans="1:8" ht="18">
      <c r="A53" s="4" t="s">
        <v>51</v>
      </c>
      <c r="B53" s="4" t="s">
        <v>33</v>
      </c>
      <c r="C53" s="10">
        <v>45197</v>
      </c>
      <c r="D53" s="18">
        <f t="shared" si="0"/>
        <v>2023</v>
      </c>
      <c r="E53" s="24">
        <v>9.99</v>
      </c>
      <c r="F53" s="6" t="s">
        <v>186</v>
      </c>
      <c r="G53" s="2" t="s">
        <v>89</v>
      </c>
      <c r="H53" s="2" t="s">
        <v>140</v>
      </c>
    </row>
    <row r="54" spans="1:8" ht="18">
      <c r="A54" s="4" t="s">
        <v>52</v>
      </c>
      <c r="B54" s="4" t="s">
        <v>33</v>
      </c>
      <c r="C54" s="10">
        <v>45351</v>
      </c>
      <c r="D54" s="18">
        <f t="shared" si="0"/>
        <v>2024</v>
      </c>
      <c r="E54" s="24">
        <v>9.99</v>
      </c>
      <c r="F54" s="6" t="s">
        <v>186</v>
      </c>
      <c r="G54" s="2" t="s">
        <v>89</v>
      </c>
      <c r="H54" s="2" t="s">
        <v>141</v>
      </c>
    </row>
    <row r="55" spans="1:8" ht="18">
      <c r="A55" s="4" t="s">
        <v>142</v>
      </c>
      <c r="B55" s="4" t="s">
        <v>54</v>
      </c>
      <c r="C55" s="10">
        <v>44257</v>
      </c>
      <c r="D55" s="18">
        <f t="shared" si="0"/>
        <v>2021</v>
      </c>
      <c r="E55" s="25">
        <v>4.99</v>
      </c>
      <c r="F55" s="6" t="s">
        <v>186</v>
      </c>
      <c r="G55" s="2" t="s">
        <v>89</v>
      </c>
      <c r="H55" s="2" t="s">
        <v>152</v>
      </c>
    </row>
    <row r="56" spans="1:8" ht="18">
      <c r="A56" s="4" t="s">
        <v>55</v>
      </c>
      <c r="B56" s="4" t="s">
        <v>54</v>
      </c>
      <c r="C56" s="10">
        <v>44257</v>
      </c>
      <c r="D56" s="18">
        <f t="shared" si="0"/>
        <v>2021</v>
      </c>
      <c r="E56" s="25">
        <v>4.99</v>
      </c>
      <c r="F56" s="6" t="s">
        <v>186</v>
      </c>
      <c r="G56" s="2" t="s">
        <v>89</v>
      </c>
      <c r="H56" s="2" t="s">
        <v>153</v>
      </c>
    </row>
    <row r="57" spans="1:8" ht="18">
      <c r="A57" s="4" t="s">
        <v>53</v>
      </c>
      <c r="B57" s="4" t="s">
        <v>54</v>
      </c>
      <c r="C57" s="10">
        <v>44257</v>
      </c>
      <c r="D57" s="18">
        <f t="shared" si="0"/>
        <v>2021</v>
      </c>
      <c r="E57" s="25">
        <v>4.99</v>
      </c>
      <c r="F57" s="6" t="s">
        <v>186</v>
      </c>
      <c r="G57" s="2" t="s">
        <v>194</v>
      </c>
      <c r="H57" s="2" t="s">
        <v>154</v>
      </c>
    </row>
    <row r="58" spans="1:8" ht="18">
      <c r="A58" s="4" t="s">
        <v>56</v>
      </c>
      <c r="B58" s="4" t="s">
        <v>54</v>
      </c>
      <c r="C58" s="10">
        <v>44334</v>
      </c>
      <c r="D58" s="18">
        <f t="shared" si="0"/>
        <v>2021</v>
      </c>
      <c r="E58" s="25">
        <v>4.99</v>
      </c>
      <c r="F58" s="6" t="s">
        <v>186</v>
      </c>
      <c r="G58" s="2" t="s">
        <v>89</v>
      </c>
      <c r="H58" s="2" t="s">
        <v>155</v>
      </c>
    </row>
    <row r="59" spans="1:8" ht="18">
      <c r="A59" s="4" t="s">
        <v>57</v>
      </c>
      <c r="B59" s="4" t="s">
        <v>54</v>
      </c>
      <c r="C59" s="10">
        <v>44434</v>
      </c>
      <c r="D59" s="18">
        <f t="shared" si="0"/>
        <v>2021</v>
      </c>
      <c r="E59" s="25">
        <v>4.99</v>
      </c>
      <c r="F59" s="6" t="s">
        <v>186</v>
      </c>
      <c r="G59" s="2" t="s">
        <v>89</v>
      </c>
      <c r="H59" s="2" t="s">
        <v>156</v>
      </c>
    </row>
    <row r="60" spans="1:8" ht="18">
      <c r="A60" s="4" t="s">
        <v>58</v>
      </c>
      <c r="B60" s="4" t="s">
        <v>54</v>
      </c>
      <c r="C60" s="10">
        <v>44474</v>
      </c>
      <c r="D60" s="18">
        <f t="shared" si="0"/>
        <v>2021</v>
      </c>
      <c r="E60" s="25">
        <v>4.99</v>
      </c>
      <c r="F60" s="6" t="s">
        <v>186</v>
      </c>
      <c r="G60" s="2" t="s">
        <v>89</v>
      </c>
      <c r="H60" s="2" t="s">
        <v>157</v>
      </c>
    </row>
    <row r="61" spans="1:8" ht="18">
      <c r="A61" s="4" t="s">
        <v>59</v>
      </c>
      <c r="B61" s="4" t="s">
        <v>54</v>
      </c>
      <c r="C61" s="10">
        <v>44474</v>
      </c>
      <c r="D61" s="18">
        <f t="shared" si="0"/>
        <v>2021</v>
      </c>
      <c r="E61" s="25">
        <v>4.99</v>
      </c>
      <c r="F61" s="6" t="s">
        <v>186</v>
      </c>
      <c r="G61" s="2" t="s">
        <v>89</v>
      </c>
      <c r="H61" s="2" t="s">
        <v>158</v>
      </c>
    </row>
    <row r="62" spans="1:8" ht="18">
      <c r="A62" s="4" t="s">
        <v>60</v>
      </c>
      <c r="B62" s="4" t="s">
        <v>54</v>
      </c>
      <c r="C62" s="10">
        <v>44509</v>
      </c>
      <c r="D62" s="18">
        <f t="shared" si="0"/>
        <v>2021</v>
      </c>
      <c r="E62" s="25">
        <v>4.99</v>
      </c>
      <c r="F62" s="6" t="s">
        <v>186</v>
      </c>
      <c r="G62" s="2" t="s">
        <v>89</v>
      </c>
      <c r="H62" s="2" t="s">
        <v>159</v>
      </c>
    </row>
    <row r="63" spans="1:8" ht="18">
      <c r="A63" s="4" t="s">
        <v>61</v>
      </c>
      <c r="B63" s="4" t="s">
        <v>54</v>
      </c>
      <c r="C63" s="10">
        <v>44532</v>
      </c>
      <c r="D63" s="18">
        <f t="shared" si="0"/>
        <v>2021</v>
      </c>
      <c r="E63" s="25">
        <v>4.99</v>
      </c>
      <c r="F63" s="6" t="s">
        <v>186</v>
      </c>
      <c r="G63" s="2" t="s">
        <v>89</v>
      </c>
      <c r="H63" s="2" t="s">
        <v>160</v>
      </c>
    </row>
    <row r="64" spans="1:8" ht="18">
      <c r="A64" s="4" t="s">
        <v>62</v>
      </c>
      <c r="B64" s="4" t="s">
        <v>54</v>
      </c>
      <c r="C64" s="10">
        <v>44595</v>
      </c>
      <c r="D64" s="18">
        <f t="shared" si="0"/>
        <v>2022</v>
      </c>
      <c r="E64" s="25">
        <v>4.99</v>
      </c>
      <c r="F64" s="6" t="s">
        <v>186</v>
      </c>
      <c r="G64" s="2" t="s">
        <v>89</v>
      </c>
      <c r="H64" s="2" t="s">
        <v>161</v>
      </c>
    </row>
    <row r="65" spans="1:8" ht="18">
      <c r="A65" s="4" t="s">
        <v>63</v>
      </c>
      <c r="B65" s="4" t="s">
        <v>54</v>
      </c>
      <c r="C65" s="10">
        <v>44641</v>
      </c>
      <c r="D65" s="18">
        <f t="shared" si="0"/>
        <v>2022</v>
      </c>
      <c r="E65" s="25">
        <v>4.99</v>
      </c>
      <c r="F65" s="6" t="s">
        <v>186</v>
      </c>
      <c r="G65" s="2" t="s">
        <v>89</v>
      </c>
      <c r="H65" s="2" t="s">
        <v>162</v>
      </c>
    </row>
    <row r="66" spans="1:8" ht="18">
      <c r="A66" s="4" t="s">
        <v>64</v>
      </c>
      <c r="B66" s="4" t="s">
        <v>54</v>
      </c>
      <c r="C66" s="10">
        <v>44707</v>
      </c>
      <c r="D66" s="18">
        <f t="shared" si="0"/>
        <v>2022</v>
      </c>
      <c r="E66" s="25">
        <v>4.99</v>
      </c>
      <c r="F66" s="6" t="s">
        <v>186</v>
      </c>
      <c r="G66" s="2" t="s">
        <v>89</v>
      </c>
      <c r="H66" s="2" t="s">
        <v>163</v>
      </c>
    </row>
    <row r="67" spans="1:8" ht="18">
      <c r="A67" s="4" t="s">
        <v>200</v>
      </c>
      <c r="B67" s="4" t="s">
        <v>54</v>
      </c>
      <c r="C67" s="10">
        <v>44707</v>
      </c>
      <c r="D67" s="18">
        <f t="shared" ref="D67:D100" si="1">YEAR(C67)</f>
        <v>2022</v>
      </c>
      <c r="E67" s="25">
        <v>4.99</v>
      </c>
      <c r="F67" s="6" t="s">
        <v>186</v>
      </c>
      <c r="G67" s="2" t="s">
        <v>89</v>
      </c>
      <c r="H67" s="2" t="s">
        <v>164</v>
      </c>
    </row>
    <row r="68" spans="1:8" ht="18">
      <c r="A68" s="4" t="s">
        <v>65</v>
      </c>
      <c r="B68" s="4" t="s">
        <v>54</v>
      </c>
      <c r="C68" s="10">
        <v>44805</v>
      </c>
      <c r="D68" s="18">
        <f t="shared" si="1"/>
        <v>2022</v>
      </c>
      <c r="E68" s="25">
        <v>4.99</v>
      </c>
      <c r="F68" s="6" t="s">
        <v>186</v>
      </c>
      <c r="G68" s="2" t="s">
        <v>89</v>
      </c>
      <c r="H68" s="2" t="s">
        <v>165</v>
      </c>
    </row>
    <row r="69" spans="1:8" ht="18">
      <c r="A69" s="4" t="s">
        <v>66</v>
      </c>
      <c r="B69" s="4" t="s">
        <v>54</v>
      </c>
      <c r="C69" s="10">
        <v>44818</v>
      </c>
      <c r="D69" s="18">
        <f t="shared" si="1"/>
        <v>2022</v>
      </c>
      <c r="E69" s="25">
        <v>4.99</v>
      </c>
      <c r="F69" s="6" t="s">
        <v>186</v>
      </c>
      <c r="G69" s="2" t="s">
        <v>89</v>
      </c>
      <c r="H69" s="2" t="s">
        <v>166</v>
      </c>
    </row>
    <row r="70" spans="1:8" ht="18">
      <c r="A70" s="4" t="s">
        <v>67</v>
      </c>
      <c r="B70" s="4" t="s">
        <v>54</v>
      </c>
      <c r="C70" s="10">
        <v>44875</v>
      </c>
      <c r="D70" s="18">
        <f t="shared" si="1"/>
        <v>2022</v>
      </c>
      <c r="E70" s="25">
        <v>4.99</v>
      </c>
      <c r="F70" s="6" t="s">
        <v>186</v>
      </c>
      <c r="G70" s="2" t="s">
        <v>89</v>
      </c>
      <c r="H70" s="2" t="s">
        <v>167</v>
      </c>
    </row>
    <row r="71" spans="1:8" ht="18">
      <c r="A71" s="4" t="s">
        <v>201</v>
      </c>
      <c r="B71" s="4" t="s">
        <v>54</v>
      </c>
      <c r="C71" s="10">
        <v>44875</v>
      </c>
      <c r="D71" s="18">
        <f t="shared" si="1"/>
        <v>2022</v>
      </c>
      <c r="E71" s="25">
        <v>4.99</v>
      </c>
      <c r="F71" s="6" t="s">
        <v>186</v>
      </c>
      <c r="G71" s="2" t="s">
        <v>89</v>
      </c>
      <c r="H71" s="2" t="s">
        <v>168</v>
      </c>
    </row>
    <row r="72" spans="1:8" ht="18">
      <c r="A72" s="4" t="s">
        <v>68</v>
      </c>
      <c r="B72" s="4" t="s">
        <v>54</v>
      </c>
      <c r="C72" s="10">
        <v>44945</v>
      </c>
      <c r="D72" s="18">
        <f t="shared" si="1"/>
        <v>2023</v>
      </c>
      <c r="E72" s="25">
        <v>4.99</v>
      </c>
      <c r="F72" s="6" t="s">
        <v>186</v>
      </c>
      <c r="G72" s="2" t="s">
        <v>89</v>
      </c>
      <c r="H72" s="2" t="s">
        <v>169</v>
      </c>
    </row>
    <row r="73" spans="1:8" ht="18">
      <c r="A73" s="4" t="s">
        <v>202</v>
      </c>
      <c r="B73" s="4" t="s">
        <v>54</v>
      </c>
      <c r="C73" s="10">
        <v>44945</v>
      </c>
      <c r="D73" s="18">
        <f t="shared" si="1"/>
        <v>2023</v>
      </c>
      <c r="E73" s="25">
        <v>4.99</v>
      </c>
      <c r="F73" s="6" t="s">
        <v>186</v>
      </c>
      <c r="G73" s="2" t="s">
        <v>89</v>
      </c>
      <c r="H73" s="2" t="s">
        <v>170</v>
      </c>
    </row>
    <row r="74" spans="1:8" ht="18">
      <c r="A74" s="4" t="s">
        <v>69</v>
      </c>
      <c r="B74" s="4" t="s">
        <v>54</v>
      </c>
      <c r="C74" s="10">
        <v>45036</v>
      </c>
      <c r="D74" s="18">
        <f t="shared" si="1"/>
        <v>2023</v>
      </c>
      <c r="E74" s="25">
        <v>4.99</v>
      </c>
      <c r="F74" s="6" t="s">
        <v>186</v>
      </c>
      <c r="G74" s="2" t="s">
        <v>89</v>
      </c>
      <c r="H74" s="2" t="s">
        <v>171</v>
      </c>
    </row>
    <row r="75" spans="1:8" ht="18">
      <c r="A75" s="4" t="s">
        <v>209</v>
      </c>
      <c r="B75" s="4" t="s">
        <v>54</v>
      </c>
      <c r="C75" s="10">
        <v>45036</v>
      </c>
      <c r="D75" s="18">
        <f t="shared" si="1"/>
        <v>2023</v>
      </c>
      <c r="E75" s="25">
        <v>4.99</v>
      </c>
      <c r="F75" s="6" t="s">
        <v>186</v>
      </c>
      <c r="G75" s="2" t="s">
        <v>89</v>
      </c>
      <c r="H75" s="2" t="s">
        <v>172</v>
      </c>
    </row>
    <row r="76" spans="1:8" ht="18">
      <c r="A76" s="4" t="s">
        <v>70</v>
      </c>
      <c r="B76" s="4" t="s">
        <v>54</v>
      </c>
      <c r="C76" s="10">
        <v>45078</v>
      </c>
      <c r="D76" s="18">
        <f t="shared" si="1"/>
        <v>2023</v>
      </c>
      <c r="E76" s="25">
        <v>4.99</v>
      </c>
      <c r="F76" s="6" t="s">
        <v>186</v>
      </c>
      <c r="G76" s="2" t="s">
        <v>89</v>
      </c>
      <c r="H76" s="2" t="s">
        <v>173</v>
      </c>
    </row>
    <row r="77" spans="1:8" ht="18">
      <c r="A77" s="4" t="s">
        <v>208</v>
      </c>
      <c r="B77" s="4" t="s">
        <v>54</v>
      </c>
      <c r="C77" s="10">
        <v>45078</v>
      </c>
      <c r="D77" s="18">
        <f t="shared" si="1"/>
        <v>2023</v>
      </c>
      <c r="E77" s="25">
        <v>4.99</v>
      </c>
      <c r="F77" s="6" t="s">
        <v>186</v>
      </c>
      <c r="G77" s="2" t="s">
        <v>89</v>
      </c>
      <c r="H77" s="2" t="s">
        <v>174</v>
      </c>
    </row>
    <row r="78" spans="1:8" ht="18">
      <c r="A78" s="4" t="s">
        <v>71</v>
      </c>
      <c r="B78" s="4" t="s">
        <v>54</v>
      </c>
      <c r="C78" s="10">
        <v>45176</v>
      </c>
      <c r="D78" s="18">
        <f t="shared" si="1"/>
        <v>2023</v>
      </c>
      <c r="E78" s="25">
        <v>4.99</v>
      </c>
      <c r="F78" s="6" t="s">
        <v>186</v>
      </c>
      <c r="G78" s="2" t="s">
        <v>89</v>
      </c>
      <c r="H78" s="2" t="s">
        <v>175</v>
      </c>
    </row>
    <row r="79" spans="1:8" ht="18">
      <c r="A79" s="4" t="s">
        <v>207</v>
      </c>
      <c r="B79" s="4" t="s">
        <v>54</v>
      </c>
      <c r="C79" s="10">
        <v>45176</v>
      </c>
      <c r="D79" s="18">
        <f t="shared" si="1"/>
        <v>2023</v>
      </c>
      <c r="E79" s="25">
        <v>4.99</v>
      </c>
      <c r="F79" s="6" t="s">
        <v>186</v>
      </c>
      <c r="G79" s="2" t="s">
        <v>89</v>
      </c>
      <c r="H79" s="2" t="s">
        <v>176</v>
      </c>
    </row>
    <row r="80" spans="1:8" ht="18">
      <c r="A80" s="4" t="s">
        <v>72</v>
      </c>
      <c r="B80" s="4" t="s">
        <v>54</v>
      </c>
      <c r="C80" s="10">
        <v>45309</v>
      </c>
      <c r="D80" s="18">
        <f t="shared" si="1"/>
        <v>2024</v>
      </c>
      <c r="E80" s="25">
        <v>4.99</v>
      </c>
      <c r="F80" s="6" t="s">
        <v>186</v>
      </c>
      <c r="G80" s="2" t="s">
        <v>89</v>
      </c>
      <c r="H80" s="2" t="s">
        <v>177</v>
      </c>
    </row>
    <row r="81" spans="1:8" ht="18">
      <c r="A81" s="4" t="s">
        <v>73</v>
      </c>
      <c r="B81" s="4" t="s">
        <v>54</v>
      </c>
      <c r="C81" s="10">
        <v>45309</v>
      </c>
      <c r="D81" s="18">
        <f t="shared" si="1"/>
        <v>2024</v>
      </c>
      <c r="E81" s="25">
        <v>4.99</v>
      </c>
      <c r="F81" s="6" t="s">
        <v>186</v>
      </c>
      <c r="G81" s="2" t="s">
        <v>89</v>
      </c>
      <c r="H81" s="2" t="s">
        <v>178</v>
      </c>
    </row>
    <row r="82" spans="1:8" ht="18">
      <c r="A82" s="4" t="s">
        <v>212</v>
      </c>
      <c r="B82" s="4" t="s">
        <v>54</v>
      </c>
      <c r="C82" s="10">
        <v>45400</v>
      </c>
      <c r="D82" s="18">
        <f t="shared" si="1"/>
        <v>2024</v>
      </c>
      <c r="E82" s="25">
        <v>4.99</v>
      </c>
      <c r="F82" s="6" t="s">
        <v>186</v>
      </c>
      <c r="G82" s="2" t="s">
        <v>89</v>
      </c>
      <c r="H82" s="2" t="s">
        <v>179</v>
      </c>
    </row>
    <row r="83" spans="1:8" ht="18">
      <c r="A83" s="4" t="s">
        <v>206</v>
      </c>
      <c r="B83" s="4" t="s">
        <v>54</v>
      </c>
      <c r="C83" s="10">
        <v>45400</v>
      </c>
      <c r="D83" s="18">
        <f t="shared" si="1"/>
        <v>2024</v>
      </c>
      <c r="E83" s="25">
        <v>4.99</v>
      </c>
      <c r="F83" s="6" t="s">
        <v>186</v>
      </c>
      <c r="G83" s="2" t="s">
        <v>89</v>
      </c>
      <c r="H83" s="2" t="s">
        <v>180</v>
      </c>
    </row>
    <row r="84" spans="1:8" ht="18">
      <c r="A84" s="4" t="s">
        <v>74</v>
      </c>
      <c r="B84" s="4" t="s">
        <v>54</v>
      </c>
      <c r="C84" s="10">
        <v>45442</v>
      </c>
      <c r="D84" s="18">
        <f t="shared" si="1"/>
        <v>2024</v>
      </c>
      <c r="E84" s="25">
        <v>4.99</v>
      </c>
      <c r="F84" s="6" t="s">
        <v>186</v>
      </c>
      <c r="G84" s="2" t="s">
        <v>89</v>
      </c>
      <c r="H84" s="2" t="s">
        <v>181</v>
      </c>
    </row>
    <row r="85" spans="1:8" ht="18">
      <c r="A85" s="4" t="s">
        <v>205</v>
      </c>
      <c r="B85" s="4" t="s">
        <v>54</v>
      </c>
      <c r="C85" s="10">
        <v>45442</v>
      </c>
      <c r="D85" s="18">
        <f t="shared" si="1"/>
        <v>2024</v>
      </c>
      <c r="E85" s="25">
        <v>4.99</v>
      </c>
      <c r="F85" s="6" t="s">
        <v>186</v>
      </c>
      <c r="G85" s="2" t="s">
        <v>89</v>
      </c>
      <c r="H85" s="2" t="s">
        <v>182</v>
      </c>
    </row>
    <row r="86" spans="1:8" ht="18">
      <c r="A86" s="4" t="s">
        <v>75</v>
      </c>
      <c r="B86" s="4" t="s">
        <v>54</v>
      </c>
      <c r="C86" s="10">
        <v>45554</v>
      </c>
      <c r="D86" s="18">
        <f t="shared" si="1"/>
        <v>2024</v>
      </c>
      <c r="E86" s="25">
        <v>4.99</v>
      </c>
      <c r="F86" s="6" t="s">
        <v>186</v>
      </c>
      <c r="G86" s="2" t="s">
        <v>89</v>
      </c>
      <c r="H86" s="2" t="s">
        <v>183</v>
      </c>
    </row>
    <row r="87" spans="1:8" ht="18">
      <c r="A87" s="4" t="s">
        <v>76</v>
      </c>
      <c r="B87" s="4" t="s">
        <v>54</v>
      </c>
      <c r="C87" s="10">
        <v>45554</v>
      </c>
      <c r="D87" s="18">
        <f t="shared" si="1"/>
        <v>2024</v>
      </c>
      <c r="E87" s="25">
        <v>4.99</v>
      </c>
      <c r="F87" s="6" t="s">
        <v>186</v>
      </c>
      <c r="G87" s="2" t="s">
        <v>89</v>
      </c>
      <c r="H87" s="2" t="s">
        <v>184</v>
      </c>
    </row>
    <row r="88" spans="1:8" ht="18">
      <c r="A88" s="4" t="s">
        <v>77</v>
      </c>
      <c r="B88" s="4" t="s">
        <v>54</v>
      </c>
      <c r="C88" s="10">
        <v>45673</v>
      </c>
      <c r="D88" s="18">
        <f t="shared" si="1"/>
        <v>2025</v>
      </c>
      <c r="E88" s="25">
        <v>4.99</v>
      </c>
      <c r="F88" s="6" t="s">
        <v>186</v>
      </c>
      <c r="G88" s="2" t="s">
        <v>89</v>
      </c>
      <c r="H88" s="2" t="s">
        <v>143</v>
      </c>
    </row>
    <row r="89" spans="1:8" ht="18">
      <c r="A89" s="4" t="s">
        <v>78</v>
      </c>
      <c r="B89" s="4" t="s">
        <v>54</v>
      </c>
      <c r="C89" s="10">
        <v>45673</v>
      </c>
      <c r="D89" s="18">
        <f t="shared" si="1"/>
        <v>2025</v>
      </c>
      <c r="E89" s="25">
        <v>4.99</v>
      </c>
      <c r="F89" s="6" t="s">
        <v>186</v>
      </c>
      <c r="G89" s="2" t="s">
        <v>89</v>
      </c>
      <c r="H89" s="2" t="s">
        <v>144</v>
      </c>
    </row>
    <row r="90" spans="1:8" ht="18">
      <c r="A90" s="4" t="s">
        <v>79</v>
      </c>
      <c r="B90" s="4" t="s">
        <v>54</v>
      </c>
      <c r="C90" s="10">
        <v>45673</v>
      </c>
      <c r="D90" s="18">
        <f t="shared" si="1"/>
        <v>2025</v>
      </c>
      <c r="E90" s="25">
        <v>4.99</v>
      </c>
      <c r="F90" s="6" t="s">
        <v>186</v>
      </c>
      <c r="G90" s="2" t="s">
        <v>89</v>
      </c>
      <c r="H90" s="2" t="s">
        <v>145</v>
      </c>
    </row>
    <row r="91" spans="1:8" ht="18">
      <c r="A91" s="4" t="s">
        <v>80</v>
      </c>
      <c r="B91" s="4" t="s">
        <v>54</v>
      </c>
      <c r="C91" s="10">
        <v>45778</v>
      </c>
      <c r="D91" s="18">
        <f t="shared" si="1"/>
        <v>2025</v>
      </c>
      <c r="E91" s="25">
        <v>4.99</v>
      </c>
      <c r="F91" s="6" t="s">
        <v>186</v>
      </c>
      <c r="G91" s="2" t="s">
        <v>89</v>
      </c>
      <c r="H91" s="2" t="s">
        <v>146</v>
      </c>
    </row>
    <row r="92" spans="1:8" ht="18">
      <c r="A92" s="4" t="s">
        <v>204</v>
      </c>
      <c r="B92" s="10" t="s">
        <v>54</v>
      </c>
      <c r="C92" s="10">
        <v>45778</v>
      </c>
      <c r="D92" s="18">
        <f t="shared" si="1"/>
        <v>2025</v>
      </c>
      <c r="E92" s="25">
        <v>4.99</v>
      </c>
      <c r="F92" s="6" t="s">
        <v>186</v>
      </c>
      <c r="G92" s="2" t="s">
        <v>194</v>
      </c>
      <c r="H92" s="2" t="s">
        <v>147</v>
      </c>
    </row>
    <row r="93" spans="1:8" ht="18">
      <c r="A93" s="4" t="s">
        <v>203</v>
      </c>
      <c r="B93" s="4" t="s">
        <v>54</v>
      </c>
      <c r="C93" s="10">
        <v>45778</v>
      </c>
      <c r="D93" s="18">
        <f t="shared" si="1"/>
        <v>2025</v>
      </c>
      <c r="E93" s="25">
        <v>4.99</v>
      </c>
      <c r="F93" s="6" t="s">
        <v>186</v>
      </c>
      <c r="G93" s="2" t="s">
        <v>89</v>
      </c>
      <c r="H93" s="2" t="s">
        <v>148</v>
      </c>
    </row>
    <row r="94" spans="1:8" ht="18">
      <c r="A94" s="4" t="s">
        <v>81</v>
      </c>
      <c r="B94" s="4" t="s">
        <v>54</v>
      </c>
      <c r="C94" s="10">
        <v>45939</v>
      </c>
      <c r="D94" s="18">
        <f t="shared" si="1"/>
        <v>2025</v>
      </c>
      <c r="E94" s="25">
        <v>4.99</v>
      </c>
      <c r="F94" s="6" t="s">
        <v>186</v>
      </c>
      <c r="G94" s="2" t="s">
        <v>89</v>
      </c>
      <c r="H94" s="2" t="s">
        <v>149</v>
      </c>
    </row>
    <row r="95" spans="1:8" ht="18">
      <c r="A95" s="4" t="s">
        <v>82</v>
      </c>
      <c r="B95" s="4" t="s">
        <v>54</v>
      </c>
      <c r="C95" s="10">
        <v>45995</v>
      </c>
      <c r="D95" s="18">
        <f t="shared" si="1"/>
        <v>2025</v>
      </c>
      <c r="E95" s="25">
        <v>6.99</v>
      </c>
      <c r="F95" s="6" t="s">
        <v>186</v>
      </c>
      <c r="G95" s="2" t="s">
        <v>89</v>
      </c>
      <c r="H95" s="2" t="s">
        <v>150</v>
      </c>
    </row>
    <row r="96" spans="1:8" ht="18">
      <c r="A96" s="4" t="s">
        <v>83</v>
      </c>
      <c r="B96" s="4" t="s">
        <v>54</v>
      </c>
      <c r="C96" s="10">
        <v>45995</v>
      </c>
      <c r="D96" s="18">
        <f t="shared" si="1"/>
        <v>2025</v>
      </c>
      <c r="E96" s="25">
        <v>6.99</v>
      </c>
      <c r="F96" s="6" t="s">
        <v>186</v>
      </c>
      <c r="G96" s="2" t="s">
        <v>89</v>
      </c>
      <c r="H96" s="2" t="s">
        <v>151</v>
      </c>
    </row>
    <row r="97" spans="1:8" ht="18">
      <c r="A97" s="4" t="s">
        <v>214</v>
      </c>
      <c r="B97" s="4" t="s">
        <v>54</v>
      </c>
      <c r="C97" s="10">
        <v>46065</v>
      </c>
      <c r="D97" s="18">
        <f t="shared" si="1"/>
        <v>2026</v>
      </c>
      <c r="E97" s="25">
        <v>4.99</v>
      </c>
      <c r="F97" s="6" t="s">
        <v>186</v>
      </c>
      <c r="G97" s="2" t="s">
        <v>89</v>
      </c>
      <c r="H97" s="2" t="s">
        <v>216</v>
      </c>
    </row>
    <row r="98" spans="1:8" ht="18">
      <c r="A98" s="4" t="s">
        <v>213</v>
      </c>
      <c r="B98" s="4" t="s">
        <v>54</v>
      </c>
      <c r="C98" s="10">
        <v>46065</v>
      </c>
      <c r="D98" s="18">
        <f t="shared" si="1"/>
        <v>2026</v>
      </c>
      <c r="E98" s="25">
        <v>4.99</v>
      </c>
      <c r="F98" s="6" t="s">
        <v>186</v>
      </c>
      <c r="G98" s="2" t="s">
        <v>89</v>
      </c>
      <c r="H98" s="2" t="s">
        <v>217</v>
      </c>
    </row>
    <row r="99" spans="1:8" ht="18">
      <c r="A99" s="4" t="s">
        <v>215</v>
      </c>
      <c r="B99" s="4" t="s">
        <v>54</v>
      </c>
      <c r="C99" s="10">
        <v>46079</v>
      </c>
      <c r="D99" s="18">
        <f t="shared" si="1"/>
        <v>2026</v>
      </c>
      <c r="E99" s="25">
        <v>4.99</v>
      </c>
      <c r="F99" s="6" t="s">
        <v>186</v>
      </c>
      <c r="G99" s="2" t="s">
        <v>89</v>
      </c>
      <c r="H99" s="2" t="s">
        <v>218</v>
      </c>
    </row>
    <row r="100" spans="1:8" s="2" customFormat="1" ht="18">
      <c r="A100" s="4" t="s">
        <v>197</v>
      </c>
      <c r="B100" s="4" t="s">
        <v>190</v>
      </c>
      <c r="C100" s="15">
        <v>41884</v>
      </c>
      <c r="D100" s="18">
        <f t="shared" si="1"/>
        <v>2014</v>
      </c>
      <c r="E100" s="26">
        <v>59.99</v>
      </c>
      <c r="F100" s="16" t="s">
        <v>187</v>
      </c>
      <c r="G100" s="2" t="s">
        <v>194</v>
      </c>
      <c r="H100" s="2" t="s">
        <v>191</v>
      </c>
    </row>
    <row r="104" spans="1:8" ht="18">
      <c r="G104" s="2"/>
      <c r="H104" s="2"/>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E1DC1-3394-4F65-9F3A-572F0366F4E3}">
  <dimension ref="A1:G18"/>
  <sheetViews>
    <sheetView workbookViewId="0">
      <pane ySplit="1" topLeftCell="A2" activePane="bottomLeft" state="frozen"/>
      <selection pane="bottomLeft" activeCell="G3" sqref="G3"/>
    </sheetView>
  </sheetViews>
  <sheetFormatPr defaultRowHeight="15.6"/>
  <cols>
    <col min="1" max="1" width="34.19921875" customWidth="1"/>
    <col min="2" max="2" width="30.3984375" customWidth="1"/>
    <col min="3" max="3" width="22.09765625" customWidth="1"/>
    <col min="4" max="4" width="13.796875" customWidth="1"/>
    <col min="5" max="5" width="10.59765625" bestFit="1" customWidth="1"/>
    <col min="6" max="6" width="12.296875" bestFit="1" customWidth="1"/>
    <col min="7" max="7" width="39.296875" customWidth="1"/>
  </cols>
  <sheetData>
    <row r="1" spans="1:7" s="21" customFormat="1">
      <c r="A1" s="21" t="s">
        <v>219</v>
      </c>
      <c r="B1" s="21" t="s">
        <v>220</v>
      </c>
      <c r="C1" s="21" t="s">
        <v>258</v>
      </c>
      <c r="D1" s="21" t="s">
        <v>221</v>
      </c>
      <c r="E1" s="21" t="s">
        <v>222</v>
      </c>
      <c r="F1" s="21" t="s">
        <v>223</v>
      </c>
      <c r="G1" s="21" t="s">
        <v>295</v>
      </c>
    </row>
    <row r="2" spans="1:7" ht="46.8">
      <c r="A2" t="s">
        <v>224</v>
      </c>
      <c r="B2" s="8" t="s">
        <v>237</v>
      </c>
      <c r="C2">
        <v>2014</v>
      </c>
      <c r="D2" t="s">
        <v>230</v>
      </c>
      <c r="E2" t="s">
        <v>252</v>
      </c>
      <c r="F2">
        <f ca="1">IF(D2="Never Added", YEAR(TODAY())-C2, IF(D2="Partially Added",YEAR(TODAY())-C2,E2-C2))</f>
        <v>12</v>
      </c>
      <c r="G2" t="s">
        <v>297</v>
      </c>
    </row>
    <row r="3" spans="1:7" ht="46.8">
      <c r="A3" t="s">
        <v>298</v>
      </c>
      <c r="B3" s="8" t="s">
        <v>238</v>
      </c>
      <c r="C3">
        <v>2014</v>
      </c>
      <c r="D3" t="s">
        <v>230</v>
      </c>
      <c r="E3" t="s">
        <v>252</v>
      </c>
      <c r="F3">
        <f t="shared" ref="F3:F18" ca="1" si="0">IF(D3="Never Added", YEAR(TODAY())-C3, IF(D3="Partially Added",YEAR(TODAY())-C3,E3-C3))</f>
        <v>12</v>
      </c>
      <c r="G3" t="s">
        <v>299</v>
      </c>
    </row>
    <row r="4" spans="1:7" ht="31.2">
      <c r="A4" t="s">
        <v>225</v>
      </c>
      <c r="B4" s="8" t="s">
        <v>239</v>
      </c>
      <c r="C4">
        <v>2014</v>
      </c>
      <c r="D4" t="s">
        <v>230</v>
      </c>
      <c r="E4" t="s">
        <v>252</v>
      </c>
      <c r="F4">
        <f t="shared" ca="1" si="0"/>
        <v>12</v>
      </c>
      <c r="G4" t="s">
        <v>299</v>
      </c>
    </row>
    <row r="5" spans="1:7" ht="31.2">
      <c r="A5" t="s">
        <v>289</v>
      </c>
      <c r="B5" s="8" t="s">
        <v>240</v>
      </c>
      <c r="C5">
        <v>2014</v>
      </c>
      <c r="D5" t="s">
        <v>231</v>
      </c>
      <c r="E5">
        <v>2025</v>
      </c>
      <c r="F5">
        <f t="shared" ca="1" si="0"/>
        <v>11</v>
      </c>
      <c r="G5" t="s">
        <v>299</v>
      </c>
    </row>
    <row r="6" spans="1:7" ht="46.8">
      <c r="A6" t="s">
        <v>300</v>
      </c>
      <c r="B6" s="8" t="s">
        <v>257</v>
      </c>
      <c r="C6">
        <v>2014</v>
      </c>
      <c r="D6" t="s">
        <v>231</v>
      </c>
      <c r="E6">
        <v>2014</v>
      </c>
      <c r="F6">
        <f t="shared" ca="1" si="0"/>
        <v>0</v>
      </c>
      <c r="G6" t="s">
        <v>301</v>
      </c>
    </row>
    <row r="7" spans="1:7" ht="46.8">
      <c r="A7" t="s">
        <v>226</v>
      </c>
      <c r="B7" s="8" t="s">
        <v>241</v>
      </c>
      <c r="C7">
        <v>2014</v>
      </c>
      <c r="D7" t="s">
        <v>231</v>
      </c>
      <c r="E7">
        <v>2017</v>
      </c>
      <c r="F7">
        <f t="shared" ca="1" si="0"/>
        <v>3</v>
      </c>
      <c r="G7" t="s">
        <v>297</v>
      </c>
    </row>
    <row r="8" spans="1:7" ht="46.8">
      <c r="A8" t="s">
        <v>227</v>
      </c>
      <c r="B8" s="8" t="s">
        <v>254</v>
      </c>
      <c r="C8">
        <v>2014</v>
      </c>
      <c r="D8" t="s">
        <v>232</v>
      </c>
      <c r="E8">
        <v>2023</v>
      </c>
      <c r="F8">
        <f t="shared" ca="1" si="0"/>
        <v>12</v>
      </c>
      <c r="G8" t="s">
        <v>297</v>
      </c>
    </row>
    <row r="9" spans="1:7" ht="31.2">
      <c r="A9" t="s">
        <v>228</v>
      </c>
      <c r="B9" s="8" t="s">
        <v>242</v>
      </c>
      <c r="C9">
        <v>2014</v>
      </c>
      <c r="D9" t="s">
        <v>230</v>
      </c>
      <c r="E9" t="s">
        <v>252</v>
      </c>
      <c r="F9">
        <f t="shared" ca="1" si="0"/>
        <v>12</v>
      </c>
      <c r="G9" t="s">
        <v>301</v>
      </c>
    </row>
    <row r="10" spans="1:7" ht="46.8">
      <c r="A10" t="s">
        <v>229</v>
      </c>
      <c r="B10" s="8" t="s">
        <v>243</v>
      </c>
      <c r="C10">
        <v>2014</v>
      </c>
      <c r="D10" t="s">
        <v>232</v>
      </c>
      <c r="E10">
        <v>2026</v>
      </c>
      <c r="F10">
        <f t="shared" ca="1" si="0"/>
        <v>12</v>
      </c>
      <c r="G10" t="s">
        <v>299</v>
      </c>
    </row>
    <row r="11" spans="1:7" ht="31.2">
      <c r="A11" t="s">
        <v>253</v>
      </c>
      <c r="B11" s="8" t="s">
        <v>244</v>
      </c>
      <c r="C11">
        <v>2014</v>
      </c>
      <c r="D11" t="s">
        <v>230</v>
      </c>
      <c r="E11" t="s">
        <v>252</v>
      </c>
      <c r="F11">
        <f t="shared" ca="1" si="0"/>
        <v>12</v>
      </c>
      <c r="G11" t="s">
        <v>297</v>
      </c>
    </row>
    <row r="12" spans="1:7" ht="46.8">
      <c r="A12" t="s">
        <v>233</v>
      </c>
      <c r="B12" s="8" t="s">
        <v>246</v>
      </c>
      <c r="C12">
        <v>2014</v>
      </c>
      <c r="D12" t="s">
        <v>232</v>
      </c>
      <c r="E12">
        <v>2021</v>
      </c>
      <c r="F12">
        <f t="shared" ca="1" si="0"/>
        <v>12</v>
      </c>
      <c r="G12" t="s">
        <v>297</v>
      </c>
    </row>
    <row r="13" spans="1:7" ht="31.2">
      <c r="A13" t="s">
        <v>234</v>
      </c>
      <c r="B13" s="8" t="s">
        <v>247</v>
      </c>
      <c r="C13">
        <v>2014</v>
      </c>
      <c r="D13" t="s">
        <v>231</v>
      </c>
      <c r="E13">
        <v>2018</v>
      </c>
      <c r="F13">
        <f t="shared" ca="1" si="0"/>
        <v>4</v>
      </c>
      <c r="G13" t="s">
        <v>301</v>
      </c>
    </row>
    <row r="14" spans="1:7" ht="31.2">
      <c r="A14" t="s">
        <v>235</v>
      </c>
      <c r="B14" s="8" t="s">
        <v>248</v>
      </c>
      <c r="C14">
        <v>2014</v>
      </c>
      <c r="D14" t="s">
        <v>231</v>
      </c>
      <c r="E14">
        <v>2022</v>
      </c>
      <c r="F14">
        <f t="shared" ca="1" si="0"/>
        <v>8</v>
      </c>
      <c r="G14" t="s">
        <v>301</v>
      </c>
    </row>
    <row r="15" spans="1:7" ht="46.8">
      <c r="A15" t="s">
        <v>236</v>
      </c>
      <c r="B15" s="8" t="s">
        <v>249</v>
      </c>
      <c r="C15">
        <v>2014</v>
      </c>
      <c r="D15" t="s">
        <v>231</v>
      </c>
      <c r="E15">
        <v>2024</v>
      </c>
      <c r="F15">
        <f t="shared" ca="1" si="0"/>
        <v>10</v>
      </c>
      <c r="G15" t="s">
        <v>297</v>
      </c>
    </row>
    <row r="16" spans="1:7" ht="46.8">
      <c r="A16" t="s">
        <v>292</v>
      </c>
      <c r="B16" s="8" t="s">
        <v>250</v>
      </c>
      <c r="C16">
        <v>2014</v>
      </c>
      <c r="D16" t="s">
        <v>230</v>
      </c>
      <c r="E16" t="s">
        <v>252</v>
      </c>
      <c r="F16">
        <f t="shared" ca="1" si="0"/>
        <v>12</v>
      </c>
      <c r="G16" t="s">
        <v>297</v>
      </c>
    </row>
    <row r="17" spans="1:7" ht="31.2">
      <c r="A17" t="s">
        <v>245</v>
      </c>
      <c r="B17" s="8" t="s">
        <v>251</v>
      </c>
      <c r="C17">
        <v>2014</v>
      </c>
      <c r="D17" t="s">
        <v>230</v>
      </c>
      <c r="E17" t="s">
        <v>252</v>
      </c>
      <c r="F17">
        <f t="shared" ca="1" si="0"/>
        <v>12</v>
      </c>
      <c r="G17" t="s">
        <v>299</v>
      </c>
    </row>
    <row r="18" spans="1:7" ht="46.8">
      <c r="A18" t="s">
        <v>255</v>
      </c>
      <c r="B18" s="8" t="s">
        <v>256</v>
      </c>
      <c r="C18">
        <v>2014</v>
      </c>
      <c r="D18" t="s">
        <v>230</v>
      </c>
      <c r="E18" t="s">
        <v>252</v>
      </c>
      <c r="F18">
        <f t="shared" ca="1" si="0"/>
        <v>12</v>
      </c>
      <c r="G18" t="s">
        <v>297</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F6AB6-B69A-43EB-BC62-C7B728958DBC}">
  <dimension ref="A1:I29"/>
  <sheetViews>
    <sheetView topLeftCell="C1" workbookViewId="0">
      <pane ySplit="1" topLeftCell="A13" activePane="bottomLeft" state="frozen"/>
      <selection pane="bottomLeft" activeCell="D27" sqref="D27"/>
    </sheetView>
  </sheetViews>
  <sheetFormatPr defaultRowHeight="15.6"/>
  <cols>
    <col min="1" max="2" width="18.3984375" customWidth="1"/>
    <col min="3" max="3" width="35.19921875" customWidth="1"/>
    <col min="4" max="4" width="22.5" customWidth="1"/>
    <col min="5" max="5" width="22.3984375" customWidth="1"/>
    <col min="6" max="6" width="30.09765625" bestFit="1" customWidth="1"/>
    <col min="7" max="7" width="24.796875" customWidth="1"/>
    <col min="8" max="8" width="12.5" customWidth="1"/>
    <col min="9" max="9" width="14.59765625" customWidth="1"/>
  </cols>
  <sheetData>
    <row r="1" spans="1:9" s="21" customFormat="1">
      <c r="A1" s="21" t="s">
        <v>284</v>
      </c>
      <c r="B1" s="21" t="s">
        <v>296</v>
      </c>
      <c r="C1" s="20" t="s">
        <v>294</v>
      </c>
      <c r="D1" s="21" t="s">
        <v>277</v>
      </c>
      <c r="E1" s="21" t="s">
        <v>280</v>
      </c>
      <c r="F1" s="21" t="s">
        <v>279</v>
      </c>
      <c r="G1" s="21" t="s">
        <v>278</v>
      </c>
      <c r="H1" s="21" t="s">
        <v>268</v>
      </c>
      <c r="I1" s="21" t="s">
        <v>269</v>
      </c>
    </row>
    <row r="2" spans="1:9">
      <c r="A2" t="s">
        <v>285</v>
      </c>
      <c r="B2" t="s">
        <v>302</v>
      </c>
      <c r="C2" t="s">
        <v>224</v>
      </c>
      <c r="D2" t="s">
        <v>267</v>
      </c>
      <c r="E2" t="s">
        <v>270</v>
      </c>
      <c r="F2" t="s">
        <v>270</v>
      </c>
      <c r="G2" t="s">
        <v>270</v>
      </c>
      <c r="H2" t="s">
        <v>267</v>
      </c>
      <c r="I2" t="s">
        <v>267</v>
      </c>
    </row>
    <row r="3" spans="1:9">
      <c r="A3" t="s">
        <v>285</v>
      </c>
      <c r="B3" t="s">
        <v>302</v>
      </c>
      <c r="C3" t="s">
        <v>225</v>
      </c>
      <c r="D3" t="s">
        <v>267</v>
      </c>
      <c r="E3" t="s">
        <v>270</v>
      </c>
      <c r="F3" t="s">
        <v>270</v>
      </c>
      <c r="G3" t="s">
        <v>270</v>
      </c>
      <c r="H3" t="s">
        <v>267</v>
      </c>
      <c r="I3" t="s">
        <v>270</v>
      </c>
    </row>
    <row r="4" spans="1:9">
      <c r="A4" t="s">
        <v>285</v>
      </c>
      <c r="B4" t="s">
        <v>303</v>
      </c>
      <c r="C4" t="s">
        <v>261</v>
      </c>
      <c r="D4" t="s">
        <v>267</v>
      </c>
      <c r="E4" t="s">
        <v>270</v>
      </c>
      <c r="F4" t="s">
        <v>270</v>
      </c>
      <c r="G4" t="s">
        <v>270</v>
      </c>
      <c r="H4" t="s">
        <v>267</v>
      </c>
      <c r="I4" t="s">
        <v>270</v>
      </c>
    </row>
    <row r="5" spans="1:9">
      <c r="A5" t="s">
        <v>285</v>
      </c>
      <c r="B5" t="s">
        <v>303</v>
      </c>
      <c r="C5" t="s">
        <v>292</v>
      </c>
      <c r="D5" t="s">
        <v>267</v>
      </c>
      <c r="E5" t="s">
        <v>270</v>
      </c>
      <c r="F5" t="s">
        <v>270</v>
      </c>
      <c r="G5" t="s">
        <v>270</v>
      </c>
      <c r="H5" t="s">
        <v>271</v>
      </c>
      <c r="I5" t="s">
        <v>267</v>
      </c>
    </row>
    <row r="6" spans="1:9">
      <c r="A6" t="s">
        <v>286</v>
      </c>
      <c r="B6" t="s">
        <v>302</v>
      </c>
      <c r="C6" t="s">
        <v>259</v>
      </c>
      <c r="D6" t="s">
        <v>267</v>
      </c>
      <c r="E6" t="s">
        <v>270</v>
      </c>
      <c r="F6" t="s">
        <v>270</v>
      </c>
      <c r="G6" t="s">
        <v>270</v>
      </c>
      <c r="H6" t="s">
        <v>267</v>
      </c>
      <c r="I6" t="s">
        <v>267</v>
      </c>
    </row>
    <row r="7" spans="1:9">
      <c r="A7" t="s">
        <v>286</v>
      </c>
      <c r="B7" t="s">
        <v>303</v>
      </c>
      <c r="C7" t="s">
        <v>234</v>
      </c>
      <c r="D7" t="s">
        <v>267</v>
      </c>
      <c r="E7" t="s">
        <v>270</v>
      </c>
      <c r="F7" t="s">
        <v>267</v>
      </c>
      <c r="G7" t="s">
        <v>267</v>
      </c>
      <c r="H7" t="s">
        <v>267</v>
      </c>
      <c r="I7" t="s">
        <v>267</v>
      </c>
    </row>
    <row r="8" spans="1:9">
      <c r="A8" t="s">
        <v>286</v>
      </c>
      <c r="B8" t="s">
        <v>304</v>
      </c>
      <c r="C8" t="s">
        <v>235</v>
      </c>
      <c r="D8" t="s">
        <v>270</v>
      </c>
      <c r="E8" t="s">
        <v>270</v>
      </c>
      <c r="F8" t="s">
        <v>267</v>
      </c>
      <c r="G8" t="s">
        <v>267</v>
      </c>
      <c r="H8" t="s">
        <v>270</v>
      </c>
      <c r="I8" t="s">
        <v>267</v>
      </c>
    </row>
    <row r="9" spans="1:9">
      <c r="A9" t="s">
        <v>286</v>
      </c>
      <c r="B9" t="s">
        <v>303</v>
      </c>
      <c r="C9" t="s">
        <v>228</v>
      </c>
      <c r="D9" t="s">
        <v>267</v>
      </c>
      <c r="E9" t="s">
        <v>270</v>
      </c>
      <c r="F9" t="s">
        <v>270</v>
      </c>
      <c r="G9" t="s">
        <v>270</v>
      </c>
      <c r="H9" t="s">
        <v>267</v>
      </c>
      <c r="I9" t="s">
        <v>267</v>
      </c>
    </row>
    <row r="10" spans="1:9">
      <c r="A10" t="s">
        <v>286</v>
      </c>
      <c r="B10" t="s">
        <v>303</v>
      </c>
      <c r="C10" t="s">
        <v>293</v>
      </c>
      <c r="D10" t="s">
        <v>267</v>
      </c>
      <c r="E10" t="s">
        <v>270</v>
      </c>
      <c r="F10" t="s">
        <v>271</v>
      </c>
      <c r="G10" t="s">
        <v>271</v>
      </c>
      <c r="H10" t="s">
        <v>267</v>
      </c>
      <c r="I10" t="s">
        <v>267</v>
      </c>
    </row>
    <row r="11" spans="1:9">
      <c r="A11" t="s">
        <v>286</v>
      </c>
      <c r="B11" t="s">
        <v>303</v>
      </c>
      <c r="C11" t="s">
        <v>266</v>
      </c>
      <c r="D11" t="s">
        <v>267</v>
      </c>
      <c r="E11" t="s">
        <v>270</v>
      </c>
      <c r="F11" t="s">
        <v>267</v>
      </c>
      <c r="G11" t="s">
        <v>267</v>
      </c>
      <c r="H11" t="s">
        <v>267</v>
      </c>
      <c r="I11" t="s">
        <v>270</v>
      </c>
    </row>
    <row r="12" spans="1:9">
      <c r="A12" t="s">
        <v>287</v>
      </c>
      <c r="B12" t="s">
        <v>302</v>
      </c>
      <c r="C12" t="s">
        <v>283</v>
      </c>
      <c r="D12" t="s">
        <v>271</v>
      </c>
      <c r="E12" t="s">
        <v>270</v>
      </c>
      <c r="F12" t="s">
        <v>267</v>
      </c>
      <c r="G12" t="s">
        <v>267</v>
      </c>
      <c r="H12" t="s">
        <v>271</v>
      </c>
      <c r="I12" t="s">
        <v>271</v>
      </c>
    </row>
    <row r="13" spans="1:9">
      <c r="A13" t="s">
        <v>287</v>
      </c>
      <c r="B13" t="s">
        <v>302</v>
      </c>
      <c r="C13" t="s">
        <v>282</v>
      </c>
      <c r="D13" t="s">
        <v>267</v>
      </c>
      <c r="E13" t="s">
        <v>270</v>
      </c>
      <c r="F13" t="s">
        <v>267</v>
      </c>
      <c r="G13" t="s">
        <v>267</v>
      </c>
      <c r="H13" t="s">
        <v>270</v>
      </c>
      <c r="I13" t="s">
        <v>267</v>
      </c>
    </row>
    <row r="14" spans="1:9">
      <c r="A14" t="s">
        <v>287</v>
      </c>
      <c r="B14" t="s">
        <v>303</v>
      </c>
      <c r="C14" t="s">
        <v>281</v>
      </c>
      <c r="D14" t="s">
        <v>270</v>
      </c>
      <c r="E14" t="s">
        <v>270</v>
      </c>
      <c r="F14" t="s">
        <v>267</v>
      </c>
      <c r="G14" t="s">
        <v>267</v>
      </c>
      <c r="H14" t="s">
        <v>270</v>
      </c>
      <c r="I14" t="s">
        <v>267</v>
      </c>
    </row>
    <row r="15" spans="1:9">
      <c r="A15" t="s">
        <v>287</v>
      </c>
      <c r="B15" t="s">
        <v>302</v>
      </c>
      <c r="C15" t="s">
        <v>233</v>
      </c>
      <c r="D15" t="s">
        <v>267</v>
      </c>
      <c r="E15" t="s">
        <v>270</v>
      </c>
      <c r="F15" t="s">
        <v>271</v>
      </c>
      <c r="G15" t="s">
        <v>271</v>
      </c>
      <c r="H15" t="s">
        <v>271</v>
      </c>
      <c r="I15" t="s">
        <v>271</v>
      </c>
    </row>
    <row r="16" spans="1:9">
      <c r="A16" t="s">
        <v>287</v>
      </c>
      <c r="B16" t="s">
        <v>302</v>
      </c>
      <c r="C16" t="s">
        <v>262</v>
      </c>
      <c r="D16" t="s">
        <v>267</v>
      </c>
      <c r="E16" t="s">
        <v>270</v>
      </c>
      <c r="F16" t="s">
        <v>271</v>
      </c>
      <c r="G16" t="s">
        <v>271</v>
      </c>
      <c r="H16" t="s">
        <v>270</v>
      </c>
      <c r="I16" t="s">
        <v>267</v>
      </c>
    </row>
    <row r="17" spans="1:9">
      <c r="A17" t="s">
        <v>287</v>
      </c>
      <c r="B17" t="s">
        <v>303</v>
      </c>
      <c r="C17" t="s">
        <v>236</v>
      </c>
      <c r="D17" t="s">
        <v>271</v>
      </c>
      <c r="E17" t="s">
        <v>270</v>
      </c>
      <c r="F17" t="s">
        <v>270</v>
      </c>
      <c r="G17" t="s">
        <v>267</v>
      </c>
      <c r="H17" t="s">
        <v>267</v>
      </c>
      <c r="I17" t="s">
        <v>267</v>
      </c>
    </row>
    <row r="18" spans="1:9">
      <c r="A18" t="s">
        <v>287</v>
      </c>
      <c r="B18" t="s">
        <v>303</v>
      </c>
      <c r="C18" t="s">
        <v>260</v>
      </c>
      <c r="D18" t="s">
        <v>267</v>
      </c>
      <c r="E18" t="s">
        <v>270</v>
      </c>
      <c r="F18" t="s">
        <v>267</v>
      </c>
      <c r="G18" t="s">
        <v>267</v>
      </c>
      <c r="H18" t="s">
        <v>270</v>
      </c>
      <c r="I18" t="s">
        <v>270</v>
      </c>
    </row>
    <row r="19" spans="1:9">
      <c r="A19" t="s">
        <v>287</v>
      </c>
      <c r="B19" t="s">
        <v>303</v>
      </c>
      <c r="C19" t="s">
        <v>289</v>
      </c>
      <c r="D19" t="s">
        <v>267</v>
      </c>
      <c r="E19" t="s">
        <v>270</v>
      </c>
      <c r="F19" t="s">
        <v>267</v>
      </c>
      <c r="G19" t="s">
        <v>267</v>
      </c>
      <c r="H19" t="s">
        <v>270</v>
      </c>
      <c r="I19" t="s">
        <v>270</v>
      </c>
    </row>
    <row r="20" spans="1:9">
      <c r="A20" t="s">
        <v>287</v>
      </c>
      <c r="B20" t="s">
        <v>304</v>
      </c>
      <c r="C20" t="s">
        <v>290</v>
      </c>
      <c r="D20" t="s">
        <v>267</v>
      </c>
      <c r="E20" t="s">
        <v>270</v>
      </c>
      <c r="F20" t="s">
        <v>267</v>
      </c>
      <c r="G20" t="s">
        <v>267</v>
      </c>
      <c r="H20" t="s">
        <v>271</v>
      </c>
      <c r="I20" t="s">
        <v>270</v>
      </c>
    </row>
    <row r="21" spans="1:9">
      <c r="A21" t="s">
        <v>288</v>
      </c>
      <c r="B21" t="s">
        <v>302</v>
      </c>
      <c r="C21" t="s">
        <v>291</v>
      </c>
      <c r="D21" t="s">
        <v>267</v>
      </c>
      <c r="E21" t="s">
        <v>267</v>
      </c>
      <c r="F21" t="s">
        <v>267</v>
      </c>
      <c r="G21" t="s">
        <v>267</v>
      </c>
      <c r="H21" t="s">
        <v>267</v>
      </c>
      <c r="I21" t="s">
        <v>267</v>
      </c>
    </row>
    <row r="22" spans="1:9">
      <c r="A22" t="s">
        <v>288</v>
      </c>
      <c r="B22" t="s">
        <v>303</v>
      </c>
      <c r="C22" t="s">
        <v>265</v>
      </c>
      <c r="D22" t="s">
        <v>270</v>
      </c>
      <c r="E22" t="s">
        <v>270</v>
      </c>
      <c r="F22" t="s">
        <v>270</v>
      </c>
      <c r="G22" t="s">
        <v>267</v>
      </c>
      <c r="H22" t="s">
        <v>267</v>
      </c>
      <c r="I22" t="s">
        <v>270</v>
      </c>
    </row>
    <row r="23" spans="1:9">
      <c r="A23" t="s">
        <v>288</v>
      </c>
      <c r="B23" t="s">
        <v>304</v>
      </c>
      <c r="C23" t="s">
        <v>264</v>
      </c>
      <c r="D23" t="s">
        <v>270</v>
      </c>
      <c r="E23" t="s">
        <v>270</v>
      </c>
      <c r="F23" t="s">
        <v>270</v>
      </c>
      <c r="G23" t="s">
        <v>267</v>
      </c>
      <c r="H23" t="s">
        <v>270</v>
      </c>
      <c r="I23" t="s">
        <v>270</v>
      </c>
    </row>
    <row r="24" spans="1:9">
      <c r="A24" t="s">
        <v>263</v>
      </c>
      <c r="B24" t="s">
        <v>303</v>
      </c>
      <c r="C24" t="s">
        <v>263</v>
      </c>
      <c r="D24" t="s">
        <v>270</v>
      </c>
      <c r="E24" t="s">
        <v>270</v>
      </c>
      <c r="F24" t="s">
        <v>270</v>
      </c>
      <c r="G24" t="s">
        <v>267</v>
      </c>
      <c r="H24" t="s">
        <v>270</v>
      </c>
      <c r="I24" t="s">
        <v>270</v>
      </c>
    </row>
    <row r="26" spans="1:9" s="21" customFormat="1">
      <c r="C26" s="21" t="s">
        <v>275</v>
      </c>
      <c r="D26" s="28">
        <v>49.99</v>
      </c>
      <c r="E26" s="28">
        <v>59.99</v>
      </c>
      <c r="F26" s="21" t="s">
        <v>272</v>
      </c>
      <c r="G26" s="21" t="s">
        <v>272</v>
      </c>
      <c r="H26" s="28">
        <v>39.99</v>
      </c>
      <c r="I26" s="28">
        <v>39.99</v>
      </c>
    </row>
    <row r="27" spans="1:9" s="21" customFormat="1">
      <c r="C27" s="21" t="s">
        <v>276</v>
      </c>
      <c r="D27" s="21">
        <v>20</v>
      </c>
      <c r="E27" s="21">
        <v>0</v>
      </c>
      <c r="F27" s="21">
        <v>0</v>
      </c>
      <c r="G27" s="21">
        <v>98</v>
      </c>
      <c r="H27" s="21">
        <v>0</v>
      </c>
      <c r="I27" s="21">
        <v>0</v>
      </c>
    </row>
    <row r="28" spans="1:9" s="21" customFormat="1">
      <c r="C28" s="21" t="s">
        <v>273</v>
      </c>
      <c r="D28" s="28">
        <v>609.79999999999995</v>
      </c>
      <c r="E28" s="29">
        <v>0</v>
      </c>
      <c r="F28" s="28">
        <v>0</v>
      </c>
      <c r="G28" s="28">
        <v>1508.02</v>
      </c>
      <c r="H28" s="28">
        <v>0</v>
      </c>
      <c r="I28" s="28">
        <v>0</v>
      </c>
    </row>
    <row r="29" spans="1:9" s="21" customFormat="1">
      <c r="C29" s="21" t="s">
        <v>274</v>
      </c>
      <c r="D29" s="28">
        <v>659.79</v>
      </c>
      <c r="E29" s="28">
        <v>59.99</v>
      </c>
      <c r="F29" s="28">
        <v>0</v>
      </c>
      <c r="G29" s="28">
        <v>1568.01</v>
      </c>
      <c r="H29" s="28">
        <v>39.99</v>
      </c>
      <c r="I29" s="28">
        <v>39.99</v>
      </c>
    </row>
  </sheetData>
  <conditionalFormatting sqref="D2:I24">
    <cfRule type="cellIs" dxfId="2" priority="1" operator="equal">
      <formula>"PARTIAL"</formula>
    </cfRule>
    <cfRule type="cellIs" dxfId="1" priority="2" operator="equal">
      <formula>"NO"</formula>
    </cfRule>
    <cfRule type="cellIs" dxfId="0" priority="3" operator="equal">
      <formula>"YES"</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DF475-EA2E-4E21-BCF4-6C8A7F74C4D5}">
  <dimension ref="A1:O14"/>
  <sheetViews>
    <sheetView zoomScaleNormal="100" workbookViewId="0">
      <selection activeCell="I4" sqref="I4"/>
    </sheetView>
  </sheetViews>
  <sheetFormatPr defaultRowHeight="15.6"/>
  <cols>
    <col min="2" max="2" width="15.09765625" customWidth="1"/>
    <col min="3" max="3" width="20" customWidth="1"/>
    <col min="4" max="4" width="10.5" customWidth="1"/>
    <col min="5" max="5" width="11.796875" customWidth="1"/>
    <col min="6" max="6" width="16.19921875" customWidth="1"/>
    <col min="7" max="7" width="25.3984375" style="27" customWidth="1"/>
    <col min="8" max="8" width="30.09765625" style="27" customWidth="1"/>
    <col min="9" max="9" width="29.59765625" style="27" customWidth="1"/>
    <col min="10" max="10" width="35.3984375" style="27" customWidth="1"/>
    <col min="11" max="11" width="19.5" bestFit="1" customWidth="1"/>
    <col min="12" max="12" width="16.19921875" customWidth="1"/>
    <col min="13" max="13" width="14.69921875" bestFit="1" customWidth="1"/>
    <col min="15" max="15" width="19.09765625" style="37" customWidth="1"/>
  </cols>
  <sheetData>
    <row r="1" spans="1:15" s="20" customFormat="1">
      <c r="A1" s="20" t="s">
        <v>370</v>
      </c>
      <c r="B1" s="20" t="s">
        <v>371</v>
      </c>
      <c r="C1" s="20" t="s">
        <v>372</v>
      </c>
      <c r="D1" s="20" t="s">
        <v>373</v>
      </c>
      <c r="E1" s="20" t="s">
        <v>374</v>
      </c>
      <c r="F1" s="20" t="s">
        <v>375</v>
      </c>
      <c r="G1" s="33" t="s">
        <v>380</v>
      </c>
      <c r="H1" s="33" t="s">
        <v>381</v>
      </c>
      <c r="I1" s="33" t="s">
        <v>382</v>
      </c>
      <c r="J1" s="33" t="s">
        <v>383</v>
      </c>
      <c r="K1" s="20" t="s">
        <v>376</v>
      </c>
      <c r="L1" s="20" t="s">
        <v>377</v>
      </c>
      <c r="M1" s="20" t="s">
        <v>378</v>
      </c>
      <c r="N1" s="20" t="s">
        <v>379</v>
      </c>
      <c r="O1" s="36" t="s">
        <v>384</v>
      </c>
    </row>
    <row r="2" spans="1:15">
      <c r="A2">
        <v>2015</v>
      </c>
      <c r="B2">
        <f>COUNTIFS('DLC Master Log'!D:D,A2,'DLC Master Log'!G:G,"Aesthetic")</f>
        <v>5</v>
      </c>
      <c r="C2">
        <f>COUNTIFS('DLC Master Log'!D:D,A2,'DLC Master Log'!G:G,"Simulation-Rich")</f>
        <v>3</v>
      </c>
      <c r="D2">
        <f t="shared" ref="D2:D13" si="0">B2+C2</f>
        <v>8</v>
      </c>
      <c r="E2" s="32">
        <f t="shared" ref="E2:E13" si="1">IFERROR(B2/D2,0)</f>
        <v>0.625</v>
      </c>
      <c r="F2" s="32">
        <f t="shared" ref="F2:F13" si="2">IFERROR(C2/D2,0)</f>
        <v>0.375</v>
      </c>
      <c r="G2" s="27">
        <f>SUMIFS('DLC Master Log'!E2:E99,'DLC Master Log'!D2:D99,A2,'DLC Master Log'!G2:G99,"AESTHETIC")</f>
        <v>59.95</v>
      </c>
      <c r="H2" s="27">
        <f>SUMIFS('DLC Master Log'!E2:E99,'DLC Master Log'!D2:D99,A2,'DLC Master Log'!G2:G99,"SIMULATION-RICH")</f>
        <v>99.97</v>
      </c>
      <c r="I2" s="27">
        <f>G2</f>
        <v>59.95</v>
      </c>
      <c r="J2" s="27">
        <f>H2</f>
        <v>99.97</v>
      </c>
      <c r="K2">
        <f>COUNTIFS('DLC Master Log'!D:D,A2,'DLC Master Log'!B:B,"Expansion Pack")</f>
        <v>2</v>
      </c>
      <c r="L2">
        <f>COUNTIFS('DLC Master Log'!D:D,A2,'DLC Master Log'!B:B,"Game Pack")</f>
        <v>2</v>
      </c>
      <c r="M2">
        <f>COUNTIFS('DLC Master Log'!D:D,A2,'DLC Master Log'!B:B, "Stuff Pack")</f>
        <v>4</v>
      </c>
      <c r="N2">
        <f>COUNTIFS('DLC Master Log'!D:D,A2,'DLC Master Log'!B:B,"Kit")</f>
        <v>0</v>
      </c>
      <c r="O2" s="37">
        <f>SUMIFS('DLC Master Log'!E:E,'DLC Master Log'!D:D,A2,'DLC Master Log'!B:B,"Kit")</f>
        <v>0</v>
      </c>
    </row>
    <row r="3" spans="1:15">
      <c r="A3">
        <v>2016</v>
      </c>
      <c r="B3">
        <f>COUNTIFS('DLC Master Log'!D:D,A3,'DLC Master Log'!G:G,"Aesthetic")</f>
        <v>5</v>
      </c>
      <c r="C3">
        <f>COUNTIFS('DLC Master Log'!D:D,A3,'DLC Master Log'!G:G,"Simulation-Rich")</f>
        <v>2</v>
      </c>
      <c r="D3">
        <f t="shared" si="0"/>
        <v>7</v>
      </c>
      <c r="E3" s="32">
        <f t="shared" si="1"/>
        <v>0.7142857142857143</v>
      </c>
      <c r="F3" s="32">
        <f t="shared" si="2"/>
        <v>0.2857142857142857</v>
      </c>
      <c r="G3" s="27">
        <f>SUMIFS('DLC Master Log'!E3:E100,'DLC Master Log'!D3:D100,A3,'DLC Master Log'!G3:G100,"AESTHETIC")</f>
        <v>49.95</v>
      </c>
      <c r="H3" s="27">
        <f>SUMIFS('DLC Master Log'!E3:E100,'DLC Master Log'!D3:D100,A3,'DLC Master Log'!G3:G100,"SIMULATION-RICH")</f>
        <v>59.980000000000004</v>
      </c>
      <c r="I3" s="27">
        <f t="shared" ref="I3:I13" si="3">I2+G3</f>
        <v>109.9</v>
      </c>
      <c r="J3" s="27">
        <f t="shared" ref="J3:J13" si="4">J2+H3</f>
        <v>159.94999999999999</v>
      </c>
      <c r="K3">
        <f>COUNTIFS('DLC Master Log'!D:D,A3,'DLC Master Log'!B:B,"Expansion Pack")</f>
        <v>1</v>
      </c>
      <c r="L3">
        <f>COUNTIFS('DLC Master Log'!D:D,A3,'DLC Master Log'!B:B,"Game Pack")</f>
        <v>1</v>
      </c>
      <c r="M3">
        <f>COUNTIFS('DLC Master Log'!D:D,A3,'DLC Master Log'!B:B, "Stuff Pack")</f>
        <v>5</v>
      </c>
      <c r="N3">
        <f>COUNTIFS('DLC Master Log'!D:D,A3,'DLC Master Log'!B:B,"Kit")</f>
        <v>0</v>
      </c>
      <c r="O3" s="37">
        <f>SUMIFS('DLC Master Log'!E:E,'DLC Master Log'!D:D,A3,'DLC Master Log'!B:B,"Kit")</f>
        <v>0</v>
      </c>
    </row>
    <row r="4" spans="1:15">
      <c r="A4">
        <v>2017</v>
      </c>
      <c r="B4">
        <f>COUNTIFS('DLC Master Log'!D:D,A4,'DLC Master Log'!G:G,"Aesthetic")</f>
        <v>1</v>
      </c>
      <c r="C4">
        <f>COUNTIFS('DLC Master Log'!D:D,A4,'DLC Master Log'!G:G,"Simulation-Rich")</f>
        <v>5</v>
      </c>
      <c r="D4">
        <f t="shared" si="0"/>
        <v>6</v>
      </c>
      <c r="E4" s="32">
        <f t="shared" si="1"/>
        <v>0.16666666666666666</v>
      </c>
      <c r="F4" s="32">
        <f t="shared" si="2"/>
        <v>0.83333333333333337</v>
      </c>
      <c r="G4" s="27">
        <f>SUMIFS('DLC Master Log'!E4:E104,'DLC Master Log'!D4:D104,A4,'DLC Master Log'!G4:G104,"AESTHETIC")</f>
        <v>9.99</v>
      </c>
      <c r="H4" s="27">
        <f>SUMIFS('DLC Master Log'!E4:E104,'DLC Master Log'!D4:D104,A4,'DLC Master Log'!G4:G104,"SIMULATION-RICH")</f>
        <v>99.949999999999989</v>
      </c>
      <c r="I4" s="27">
        <f t="shared" si="3"/>
        <v>119.89</v>
      </c>
      <c r="J4" s="27">
        <f t="shared" si="4"/>
        <v>259.89999999999998</v>
      </c>
      <c r="K4">
        <f>COUNTIFS('DLC Master Log'!D:D,A4,'DLC Master Log'!B:B,"Expansion Pack")</f>
        <v>1</v>
      </c>
      <c r="L4">
        <f>COUNTIFS('DLC Master Log'!D:D,A4,'DLC Master Log'!B:B,"Game Pack")</f>
        <v>2</v>
      </c>
      <c r="M4">
        <f>COUNTIFS('DLC Master Log'!D:D,A4,'DLC Master Log'!B:B, "Stuff Pack")</f>
        <v>3</v>
      </c>
      <c r="N4">
        <f>COUNTIFS('DLC Master Log'!D:D,A4,'DLC Master Log'!B:B,"Kit")</f>
        <v>0</v>
      </c>
      <c r="O4" s="37">
        <f>SUMIFS('DLC Master Log'!E:E,'DLC Master Log'!D:D,A4,'DLC Master Log'!B:B,"Kit")</f>
        <v>0</v>
      </c>
    </row>
    <row r="5" spans="1:15">
      <c r="A5">
        <v>2018</v>
      </c>
      <c r="B5">
        <f>COUNTIFS('DLC Master Log'!D:D,A5,'DLC Master Log'!G:G,"Aesthetic")</f>
        <v>1</v>
      </c>
      <c r="C5">
        <f>COUNTIFS('DLC Master Log'!D:D,A5,'DLC Master Log'!G:G,"Simulation-Rich")</f>
        <v>4</v>
      </c>
      <c r="D5">
        <f t="shared" si="0"/>
        <v>5</v>
      </c>
      <c r="E5" s="32">
        <f t="shared" si="1"/>
        <v>0.2</v>
      </c>
      <c r="F5" s="32">
        <f t="shared" si="2"/>
        <v>0.8</v>
      </c>
      <c r="G5" s="27">
        <f>SUMIFS('DLC Master Log'!E5:E104,'DLC Master Log'!D5:D104,A5,'DLC Master Log'!G5:G104,"AESTHETIC")</f>
        <v>9.99</v>
      </c>
      <c r="H5" s="27">
        <f>SUMIFS('DLC Master Log'!E5:E104,'DLC Master Log'!D5:D104,A5,'DLC Master Log'!G5:G104,"SIMULATION-RICH")</f>
        <v>109.96</v>
      </c>
      <c r="I5" s="27">
        <f t="shared" si="3"/>
        <v>129.88</v>
      </c>
      <c r="J5" s="27">
        <f t="shared" si="4"/>
        <v>369.85999999999996</v>
      </c>
      <c r="K5">
        <f>COUNTIFS('DLC Master Log'!D:D,A5,'DLC Master Log'!B:B,"Expansion Pack")</f>
        <v>2</v>
      </c>
      <c r="L5">
        <f>COUNTIFS('DLC Master Log'!D:D,A5,'DLC Master Log'!B:B,"Game Pack")</f>
        <v>1</v>
      </c>
      <c r="M5">
        <f>COUNTIFS('DLC Master Log'!D:D,A5,'DLC Master Log'!B:B, "Stuff Pack")</f>
        <v>2</v>
      </c>
      <c r="N5">
        <f>COUNTIFS('DLC Master Log'!D:D,A5,'DLC Master Log'!B:B,"Kit")</f>
        <v>0</v>
      </c>
      <c r="O5" s="37">
        <f>SUMIFS('DLC Master Log'!E:E,'DLC Master Log'!D:D,A5,'DLC Master Log'!B:B,"Kit")</f>
        <v>0</v>
      </c>
    </row>
    <row r="6" spans="1:15">
      <c r="A6">
        <v>2019</v>
      </c>
      <c r="B6">
        <f>COUNTIFS('DLC Master Log'!D:D,A6,'DLC Master Log'!G:G,"Aesthetic")</f>
        <v>1</v>
      </c>
      <c r="C6">
        <f>COUNTIFS('DLC Master Log'!D:D,A6,'DLC Master Log'!G:G,"Simulation-Rich")</f>
        <v>4</v>
      </c>
      <c r="D6">
        <f t="shared" si="0"/>
        <v>5</v>
      </c>
      <c r="E6" s="32">
        <f t="shared" si="1"/>
        <v>0.2</v>
      </c>
      <c r="F6" s="32">
        <f t="shared" si="2"/>
        <v>0.8</v>
      </c>
      <c r="G6" s="27">
        <f>SUMIFS('DLC Master Log'!E6:E103,'DLC Master Log'!D6:D103,A6,'DLC Master Log'!G6:G103,"AESTHETIC")</f>
        <v>9.99</v>
      </c>
      <c r="H6" s="27">
        <f>SUMIFS('DLC Master Log'!E6:E103,'DLC Master Log'!D6:D103,A6,'DLC Master Log'!G6:G103,"SIMULATION-RICH")</f>
        <v>119.96</v>
      </c>
      <c r="I6" s="27">
        <f t="shared" si="3"/>
        <v>139.87</v>
      </c>
      <c r="J6" s="27">
        <f t="shared" si="4"/>
        <v>489.81999999999994</v>
      </c>
      <c r="K6">
        <f>COUNTIFS('DLC Master Log'!D:D,A6,'DLC Master Log'!B:B,"Expansion Pack")</f>
        <v>2</v>
      </c>
      <c r="L6">
        <f>COUNTIFS('DLC Master Log'!D:D,A6,'DLC Master Log'!B:B,"Game Pack")</f>
        <v>2</v>
      </c>
      <c r="M6">
        <f>COUNTIFS('DLC Master Log'!D:D,A6,'DLC Master Log'!B:B, "Stuff Pack")</f>
        <v>1</v>
      </c>
      <c r="N6">
        <f>COUNTIFS('DLC Master Log'!D:D,A6,'DLC Master Log'!B:B,"Kit")</f>
        <v>0</v>
      </c>
      <c r="O6" s="37">
        <f>SUMIFS('DLC Master Log'!E:E,'DLC Master Log'!D:D,A6,'DLC Master Log'!B:B,"Kit")</f>
        <v>0</v>
      </c>
    </row>
    <row r="7" spans="1:15">
      <c r="A7">
        <v>2020</v>
      </c>
      <c r="B7">
        <f>COUNTIFS('DLC Master Log'!D:D,A7,'DLC Master Log'!G:G,"Aesthetic")</f>
        <v>1</v>
      </c>
      <c r="C7">
        <f>COUNTIFS('DLC Master Log'!D:D,A7,'DLC Master Log'!G:G,"Simulation-Rich")</f>
        <v>4</v>
      </c>
      <c r="D7">
        <f t="shared" si="0"/>
        <v>5</v>
      </c>
      <c r="E7" s="32">
        <f t="shared" si="1"/>
        <v>0.2</v>
      </c>
      <c r="F7" s="32">
        <f t="shared" si="2"/>
        <v>0.8</v>
      </c>
      <c r="G7" s="27">
        <f>SUMIFS('DLC Master Log'!E7:E104,'DLC Master Log'!D7:D104,A7,'DLC Master Log'!G7:G104,"AESTHETIC")</f>
        <v>19.989999999999998</v>
      </c>
      <c r="H7" s="27">
        <f>SUMIFS('DLC Master Log'!E7:E104,'DLC Master Log'!D7:D104,A7,'DLC Master Log'!G7:G104,"SIMULATION-RICH")</f>
        <v>99.96</v>
      </c>
      <c r="I7" s="27">
        <f t="shared" si="3"/>
        <v>159.86000000000001</v>
      </c>
      <c r="J7" s="27">
        <f t="shared" si="4"/>
        <v>589.78</v>
      </c>
      <c r="K7">
        <f>COUNTIFS('DLC Master Log'!D:D,A7,'DLC Master Log'!B:B,"Expansion Pack")</f>
        <v>2</v>
      </c>
      <c r="L7">
        <f>COUNTIFS('DLC Master Log'!D:D,A7,'DLC Master Log'!B:B,"Game Pack")</f>
        <v>1</v>
      </c>
      <c r="M7">
        <f>COUNTIFS('DLC Master Log'!D:D,A7,'DLC Master Log'!B:B, "Stuff Pack")</f>
        <v>2</v>
      </c>
      <c r="N7">
        <f>COUNTIFS('DLC Master Log'!D:D,A7,'DLC Master Log'!B:B,"Kit")</f>
        <v>0</v>
      </c>
      <c r="O7" s="37">
        <f>SUMIFS('DLC Master Log'!E:E,'DLC Master Log'!D:D,A7,'DLC Master Log'!B:B,"Kit")</f>
        <v>0</v>
      </c>
    </row>
    <row r="8" spans="1:15">
      <c r="A8">
        <v>2021</v>
      </c>
      <c r="B8">
        <f>COUNTIFS('DLC Master Log'!D:D,A8,'DLC Master Log'!G:G,"Aesthetic")</f>
        <v>9</v>
      </c>
      <c r="C8">
        <f>COUNTIFS('DLC Master Log'!D:D,A8,'DLC Master Log'!G:G,"Simulation-Rich")</f>
        <v>3</v>
      </c>
      <c r="D8">
        <f t="shared" si="0"/>
        <v>12</v>
      </c>
      <c r="E8" s="32">
        <f t="shared" si="1"/>
        <v>0.75</v>
      </c>
      <c r="F8" s="32">
        <f t="shared" si="2"/>
        <v>0.25</v>
      </c>
      <c r="G8" s="27">
        <f>SUMIFS('DLC Master Log'!E8:E105,'DLC Master Log'!D8:D105,A8,'DLC Master Log'!G8:G105,"AESTHETIC")</f>
        <v>59.910000000000011</v>
      </c>
      <c r="H8" s="27">
        <f>SUMIFS('DLC Master Log'!E8:E105,'DLC Master Log'!D8:D105,A8,'DLC Master Log'!G8:G105,"SIMULATION-RICH")</f>
        <v>54.970000000000006</v>
      </c>
      <c r="I8" s="27">
        <f t="shared" si="3"/>
        <v>219.77000000000004</v>
      </c>
      <c r="J8" s="27">
        <f t="shared" si="4"/>
        <v>644.75</v>
      </c>
      <c r="K8">
        <f>COUNTIFS('DLC Master Log'!D:D,A8,'DLC Master Log'!B:B,"Expansion Pack")</f>
        <v>1</v>
      </c>
      <c r="L8">
        <f>COUNTIFS('DLC Master Log'!D:D,A8,'DLC Master Log'!B:B,"Game Pack")</f>
        <v>1</v>
      </c>
      <c r="M8">
        <f>COUNTIFS('DLC Master Log'!D:D,A8,'DLC Master Log'!B:B, "Stuff Pack")</f>
        <v>1</v>
      </c>
      <c r="N8">
        <f>COUNTIFS('DLC Master Log'!D:D,A8,'DLC Master Log'!B:B,"Kit")</f>
        <v>9</v>
      </c>
      <c r="O8" s="37">
        <f>SUMIFS('DLC Master Log'!E:E,'DLC Master Log'!D:D,A8,'DLC Master Log'!B:B,"Kit")</f>
        <v>44.910000000000011</v>
      </c>
    </row>
    <row r="9" spans="1:15">
      <c r="A9">
        <v>2022</v>
      </c>
      <c r="B9">
        <f>COUNTIFS('DLC Master Log'!D:D,A9,'DLC Master Log'!G:G,"Aesthetic")</f>
        <v>8</v>
      </c>
      <c r="C9">
        <f>COUNTIFS('DLC Master Log'!D:D,A9,'DLC Master Log'!G:G,"Simulation-Rich")</f>
        <v>3</v>
      </c>
      <c r="D9">
        <f t="shared" si="0"/>
        <v>11</v>
      </c>
      <c r="E9" s="32">
        <f t="shared" si="1"/>
        <v>0.72727272727272729</v>
      </c>
      <c r="F9" s="32">
        <f t="shared" si="2"/>
        <v>0.27272727272727271</v>
      </c>
      <c r="G9" s="27">
        <f>SUMIFS('DLC Master Log'!E9:E106,'DLC Master Log'!D9:D106,A9,'DLC Master Log'!G9:G106,"AESTHETIC")</f>
        <v>39.920000000000009</v>
      </c>
      <c r="H9" s="27">
        <f>SUMIFS('DLC Master Log'!E9:E106,'DLC Master Log'!D9:D106,A9,'DLC Master Log'!G9:G106,"SIMULATION-RICH")</f>
        <v>79.97</v>
      </c>
      <c r="I9" s="27">
        <f t="shared" si="3"/>
        <v>259.69000000000005</v>
      </c>
      <c r="J9" s="27">
        <f t="shared" si="4"/>
        <v>724.72</v>
      </c>
      <c r="K9">
        <f>COUNTIFS('DLC Master Log'!D:D,A9,'DLC Master Log'!B:B,"Expansion Pack")</f>
        <v>1</v>
      </c>
      <c r="L9">
        <f>COUNTIFS('DLC Master Log'!D:D,A9,'DLC Master Log'!B:B,"Game Pack")</f>
        <v>2</v>
      </c>
      <c r="M9">
        <f>COUNTIFS('DLC Master Log'!D:D,A9,'DLC Master Log'!B:B, "Stuff Pack")</f>
        <v>0</v>
      </c>
      <c r="N9">
        <f>COUNTIFS('DLC Master Log'!D:D,A9,'DLC Master Log'!B:B,"Kit")</f>
        <v>8</v>
      </c>
      <c r="O9" s="37">
        <f>SUMIFS('DLC Master Log'!E:E,'DLC Master Log'!D:D,A9,'DLC Master Log'!B:B,"Kit")</f>
        <v>39.920000000000009</v>
      </c>
    </row>
    <row r="10" spans="1:15">
      <c r="A10">
        <v>2023</v>
      </c>
      <c r="B10">
        <f>COUNTIFS('DLC Master Log'!D:D,A10,'DLC Master Log'!G:G,"Aesthetic")</f>
        <v>9</v>
      </c>
      <c r="C10">
        <f>COUNTIFS('DLC Master Log'!D:D,A10,'DLC Master Log'!G:G,"Simulation-Rich")</f>
        <v>3</v>
      </c>
      <c r="D10">
        <f t="shared" si="0"/>
        <v>12</v>
      </c>
      <c r="E10" s="32">
        <f t="shared" si="1"/>
        <v>0.75</v>
      </c>
      <c r="F10" s="32">
        <f t="shared" si="2"/>
        <v>0.25</v>
      </c>
      <c r="G10" s="27">
        <f>SUMIFS('DLC Master Log'!E10:E107,'DLC Master Log'!D10:D107,A10,'DLC Master Log'!G10:G107,"AESTHETIC")</f>
        <v>49.910000000000011</v>
      </c>
      <c r="H10" s="27">
        <f>SUMIFS('DLC Master Log'!E10:E107,'DLC Master Log'!D10:D107,A10,'DLC Master Log'!G10:G107,"SIMULATION-RICH")</f>
        <v>119.97</v>
      </c>
      <c r="I10" s="27">
        <f t="shared" si="3"/>
        <v>309.60000000000008</v>
      </c>
      <c r="J10" s="27">
        <f t="shared" si="4"/>
        <v>844.69</v>
      </c>
      <c r="K10">
        <f>COUNTIFS('DLC Master Log'!D:D,A10,'DLC Master Log'!B:B,"Expansion Pack")</f>
        <v>3</v>
      </c>
      <c r="L10">
        <f>COUNTIFS('DLC Master Log'!D:D,A10,'DLC Master Log'!B:B,"Game Pack")</f>
        <v>0</v>
      </c>
      <c r="M10">
        <f>COUNTIFS('DLC Master Log'!D:D,A10,'DLC Master Log'!B:B, "Stuff Pack")</f>
        <v>1</v>
      </c>
      <c r="N10">
        <f>COUNTIFS('DLC Master Log'!D:D,A10,'DLC Master Log'!B:B,"Kit")</f>
        <v>8</v>
      </c>
      <c r="O10" s="37">
        <f>SUMIFS('DLC Master Log'!E:E,'DLC Master Log'!D:D,A10,'DLC Master Log'!B:B,"Kit")</f>
        <v>39.920000000000009</v>
      </c>
    </row>
    <row r="11" spans="1:15">
      <c r="A11">
        <v>2024</v>
      </c>
      <c r="B11">
        <f>COUNTIFS('DLC Master Log'!D:D,A11,'DLC Master Log'!G:G,"Aesthetic")</f>
        <v>9</v>
      </c>
      <c r="C11">
        <f>COUNTIFS('DLC Master Log'!D:D,A11,'DLC Master Log'!G:G,"Simulation-Rich")</f>
        <v>2</v>
      </c>
      <c r="D11">
        <f t="shared" si="0"/>
        <v>11</v>
      </c>
      <c r="E11" s="32">
        <f t="shared" si="1"/>
        <v>0.81818181818181823</v>
      </c>
      <c r="F11" s="32">
        <f t="shared" si="2"/>
        <v>0.18181818181818182</v>
      </c>
      <c r="G11" s="27">
        <f>SUMIFS('DLC Master Log'!E11:E108,'DLC Master Log'!D11:D108,A11,'DLC Master Log'!G11:G108,"AESTHETIC")</f>
        <v>49.910000000000011</v>
      </c>
      <c r="H11" s="27">
        <f>SUMIFS('DLC Master Log'!E11:E108,'DLC Master Log'!D11:D108,A11,'DLC Master Log'!G11:G108,"SIMULATION-RICH")</f>
        <v>79.98</v>
      </c>
      <c r="I11" s="27">
        <f t="shared" si="3"/>
        <v>359.5100000000001</v>
      </c>
      <c r="J11" s="27">
        <f t="shared" si="4"/>
        <v>924.67000000000007</v>
      </c>
      <c r="K11">
        <f>COUNTIFS('DLC Master Log'!D:D,A11,'DLC Master Log'!B:B,"Expansion Pack")</f>
        <v>2</v>
      </c>
      <c r="L11">
        <f>COUNTIFS('DLC Master Log'!D:D,A11,'DLC Master Log'!B:B,"Game Pack")</f>
        <v>0</v>
      </c>
      <c r="M11">
        <f>COUNTIFS('DLC Master Log'!D:D,A11,'DLC Master Log'!B:B, "Stuff Pack")</f>
        <v>1</v>
      </c>
      <c r="N11">
        <f>COUNTIFS('DLC Master Log'!D:D,A11,'DLC Master Log'!B:B,"Kit")</f>
        <v>8</v>
      </c>
      <c r="O11" s="37">
        <f>SUMIFS('DLC Master Log'!E:E,'DLC Master Log'!D:D,A11,'DLC Master Log'!B:B,"Kit")</f>
        <v>39.920000000000009</v>
      </c>
    </row>
    <row r="12" spans="1:15">
      <c r="A12">
        <v>2025</v>
      </c>
      <c r="B12">
        <f>COUNTIFS('DLC Master Log'!D:D,A12,'DLC Master Log'!G:G,"Aesthetic")</f>
        <v>8</v>
      </c>
      <c r="C12">
        <f>COUNTIFS('DLC Master Log'!D:D,A12,'DLC Master Log'!G:G,"Simulation-Rich")</f>
        <v>4</v>
      </c>
      <c r="D12">
        <f t="shared" si="0"/>
        <v>12</v>
      </c>
      <c r="E12" s="32">
        <f t="shared" si="1"/>
        <v>0.66666666666666663</v>
      </c>
      <c r="F12" s="32">
        <f t="shared" si="2"/>
        <v>0.33333333333333331</v>
      </c>
      <c r="G12" s="27">
        <f>SUMIFS('DLC Master Log'!E12:E109,'DLC Master Log'!D12:D109,A12,'DLC Master Log'!G12:G109,"AESTHETIC")</f>
        <v>43.920000000000009</v>
      </c>
      <c r="H12" s="27">
        <f>SUMIFS('DLC Master Log'!E12:E109,'DLC Master Log'!D12:D109,A12,'DLC Master Log'!G12:G109,"SIMULATION-RICH")</f>
        <v>124.96</v>
      </c>
      <c r="I12" s="27">
        <f t="shared" si="3"/>
        <v>403.43000000000012</v>
      </c>
      <c r="J12" s="27">
        <f t="shared" si="4"/>
        <v>1049.6300000000001</v>
      </c>
      <c r="K12">
        <f>COUNTIFS('DLC Master Log'!D:D,A12,'DLC Master Log'!B:B,"Expansion Pack")</f>
        <v>3</v>
      </c>
      <c r="L12">
        <f>COUNTIFS('DLC Master Log'!D:D,A12,'DLC Master Log'!B:B,"Game Pack")</f>
        <v>0</v>
      </c>
      <c r="M12">
        <f>COUNTIFS('DLC Master Log'!D:D,A12,'DLC Master Log'!B:B, "Stuff Pack")</f>
        <v>0</v>
      </c>
      <c r="N12">
        <f>COUNTIFS('DLC Master Log'!D:D,A12,'DLC Master Log'!B:B,"Kit")</f>
        <v>9</v>
      </c>
      <c r="O12" s="37">
        <f>SUMIFS('DLC Master Log'!E:E,'DLC Master Log'!D:D,A12,'DLC Master Log'!B:B,"Kit")</f>
        <v>48.910000000000011</v>
      </c>
    </row>
    <row r="13" spans="1:15">
      <c r="A13">
        <v>2026</v>
      </c>
      <c r="B13">
        <f>COUNTIFS('DLC Master Log'!D:D,A13,'DLC Master Log'!G:G,"Aesthetic")</f>
        <v>3</v>
      </c>
      <c r="C13">
        <f>COUNTIFS('DLC Master Log'!D:D,A13,'DLC Master Log'!G:G,"Simulation-Rich")</f>
        <v>1</v>
      </c>
      <c r="D13">
        <f t="shared" si="0"/>
        <v>4</v>
      </c>
      <c r="E13" s="32">
        <f t="shared" si="1"/>
        <v>0.75</v>
      </c>
      <c r="F13" s="32">
        <f t="shared" si="2"/>
        <v>0.25</v>
      </c>
      <c r="G13" s="27">
        <f>SUMIFS('DLC Master Log'!E13:E110,'DLC Master Log'!D13:D110,A13,'DLC Master Log'!G13:G110,"AESTHETIC")</f>
        <v>14.97</v>
      </c>
      <c r="H13" s="27">
        <f>SUMIFS('DLC Master Log'!E13:E110,'DLC Master Log'!D13:D110,A13,'DLC Master Log'!G13:G110,"SIMULATION-RICH")</f>
        <v>39.99</v>
      </c>
      <c r="I13" s="27">
        <f t="shared" si="3"/>
        <v>418.40000000000015</v>
      </c>
      <c r="J13" s="27">
        <f t="shared" si="4"/>
        <v>1089.6200000000001</v>
      </c>
      <c r="K13">
        <f>COUNTIFS('DLC Master Log'!D:D,A13,'DLC Master Log'!B:B,"Expansion Pack")</f>
        <v>1</v>
      </c>
      <c r="L13">
        <f>COUNTIFS('DLC Master Log'!D:D,A13,'DLC Master Log'!B:B,"Game Pack")</f>
        <v>0</v>
      </c>
      <c r="M13">
        <f>COUNTIFS('DLC Master Log'!D:D,A13,'DLC Master Log'!B:B, "Stuff Pack")</f>
        <v>0</v>
      </c>
      <c r="N13">
        <f>COUNTIFS('DLC Master Log'!D:D,A13,'DLC Master Log'!B:B,"Kit")</f>
        <v>3</v>
      </c>
      <c r="O13" s="37">
        <f>SUMIFS('DLC Master Log'!E:E,'DLC Master Log'!D:D,A13,'DLC Master Log'!B:B,"Kit")</f>
        <v>14.97</v>
      </c>
    </row>
    <row r="14" spans="1:15" s="21" customFormat="1">
      <c r="A14" s="21" t="s">
        <v>385</v>
      </c>
      <c r="B14" s="21">
        <f>SUM(B2:B13)</f>
        <v>60</v>
      </c>
      <c r="C14" s="21">
        <f>SUM(C2:C13)</f>
        <v>38</v>
      </c>
      <c r="D14" s="21">
        <f>SUM(D2:D13)</f>
        <v>98</v>
      </c>
      <c r="E14" s="34"/>
      <c r="F14" s="34"/>
      <c r="G14" s="35">
        <f>SUM(G2:G13)</f>
        <v>418.40000000000015</v>
      </c>
      <c r="H14" s="35">
        <f>SUM(H2:H13)</f>
        <v>1089.6200000000001</v>
      </c>
      <c r="I14" s="35"/>
      <c r="J14" s="35"/>
      <c r="K14" s="21">
        <f>SUM(K2:K13)</f>
        <v>21</v>
      </c>
      <c r="L14" s="21">
        <f>SUM(L2:L13)</f>
        <v>12</v>
      </c>
      <c r="M14" s="21">
        <f>SUM(M2:M13)</f>
        <v>20</v>
      </c>
      <c r="N14" s="21">
        <f>SUM(N2:N13)</f>
        <v>45</v>
      </c>
      <c r="O14" s="38">
        <f>SUM(O2:O13)</f>
        <v>228.55000000000004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BF3A-E8CD-4026-B940-7EE7D0238449}">
  <dimension ref="A1:F6"/>
  <sheetViews>
    <sheetView workbookViewId="0">
      <selection activeCell="F3" sqref="F3"/>
    </sheetView>
  </sheetViews>
  <sheetFormatPr defaultRowHeight="15.6"/>
  <cols>
    <col min="1" max="1" width="15.09765625" customWidth="1"/>
    <col min="2" max="2" width="18.3984375" bestFit="1" customWidth="1"/>
    <col min="3" max="3" width="30.296875" style="27" customWidth="1"/>
    <col min="4" max="4" width="21.59765625" customWidth="1"/>
    <col min="5" max="5" width="15" style="32" customWidth="1"/>
    <col min="6" max="6" width="20" bestFit="1" customWidth="1"/>
    <col min="7" max="7" width="14.5" customWidth="1"/>
    <col min="8" max="8" width="10" bestFit="1" customWidth="1"/>
    <col min="9" max="9" width="8.8984375" customWidth="1"/>
  </cols>
  <sheetData>
    <row r="1" spans="1:6" s="20" customFormat="1">
      <c r="A1" s="20" t="s">
        <v>386</v>
      </c>
      <c r="B1" s="20" t="s">
        <v>387</v>
      </c>
      <c r="C1" s="33" t="s">
        <v>391</v>
      </c>
      <c r="D1" s="20" t="s">
        <v>388</v>
      </c>
      <c r="E1" s="39" t="s">
        <v>389</v>
      </c>
      <c r="F1" s="20" t="s">
        <v>390</v>
      </c>
    </row>
    <row r="2" spans="1:6">
      <c r="A2" t="s">
        <v>211</v>
      </c>
      <c r="B2">
        <f>COUNTIFS('DLC Master Log'!B:B, "Expansion Pack")</f>
        <v>21</v>
      </c>
      <c r="C2" s="27">
        <f>SUMIF('DLC Master Log'!B:B,"Expansion Pack",'DLC Master Log'!E:E)</f>
        <v>839.79000000000008</v>
      </c>
      <c r="D2" s="27">
        <f>C2/B2</f>
        <v>39.99</v>
      </c>
      <c r="E2" s="32">
        <f>B2/$B$6</f>
        <v>0.21428571428571427</v>
      </c>
      <c r="F2" s="32">
        <f>C2/$C$6</f>
        <v>0.55688253471439364</v>
      </c>
    </row>
    <row r="3" spans="1:6">
      <c r="A3" t="s">
        <v>20</v>
      </c>
      <c r="B3">
        <f>COUNTIFS('DLC Master Log'!B:B,"Game Pack")</f>
        <v>12</v>
      </c>
      <c r="C3" s="27">
        <f>SUMIF('DLC Master Log'!B:B,"Game Pack",'DLC Master Log'!E:E)</f>
        <v>239.88000000000002</v>
      </c>
      <c r="D3" s="27">
        <f t="shared" ref="D3:D5" si="0">C3/B3</f>
        <v>19.990000000000002</v>
      </c>
      <c r="E3" s="32">
        <f t="shared" ref="E3:E5" si="1">B3/$B$6</f>
        <v>0.12244897959183673</v>
      </c>
      <c r="F3" s="32">
        <f t="shared" ref="F3:F5" si="2">C3/$C$6</f>
        <v>0.15906950836195805</v>
      </c>
    </row>
    <row r="4" spans="1:6">
      <c r="A4" t="s">
        <v>33</v>
      </c>
      <c r="B4">
        <f>COUNTIFS('DLC Master Log'!B:B,"Stuff Pack")</f>
        <v>20</v>
      </c>
      <c r="C4" s="27">
        <f>SUMIF('DLC Master Log'!B:B,"Stuff Pack",'DLC Master Log'!E:E)</f>
        <v>199.80000000000004</v>
      </c>
      <c r="D4" s="27">
        <f t="shared" si="0"/>
        <v>9.990000000000002</v>
      </c>
      <c r="E4" s="32">
        <f t="shared" si="1"/>
        <v>0.20408163265306123</v>
      </c>
      <c r="F4" s="32">
        <f t="shared" si="2"/>
        <v>0.13249161151708863</v>
      </c>
    </row>
    <row r="5" spans="1:6">
      <c r="A5" t="s">
        <v>54</v>
      </c>
      <c r="B5">
        <f>COUNTIFS('DLC Master Log'!B:B,"Kit")</f>
        <v>45</v>
      </c>
      <c r="C5" s="27">
        <f>SUMIF('DLC Master Log'!B:B,"Kit",'DLC Master Log'!E:E)</f>
        <v>228.55000000000013</v>
      </c>
      <c r="D5" s="27">
        <f t="shared" si="0"/>
        <v>5.0788888888888915</v>
      </c>
      <c r="E5" s="32">
        <f t="shared" si="1"/>
        <v>0.45918367346938777</v>
      </c>
      <c r="F5" s="32">
        <f t="shared" si="2"/>
        <v>0.15155634540655966</v>
      </c>
    </row>
    <row r="6" spans="1:6" s="21" customFormat="1">
      <c r="A6" s="21" t="s">
        <v>385</v>
      </c>
      <c r="B6" s="21">
        <f>SUM(B2:B5)</f>
        <v>98</v>
      </c>
      <c r="C6" s="35">
        <f>SUM(C2:C5)</f>
        <v>1508.0200000000002</v>
      </c>
      <c r="E6" s="34"/>
      <c r="F6" s="34"/>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112B7-5DD0-4C3E-873E-D13C072D62BB}">
  <dimension ref="A1:O21"/>
  <sheetViews>
    <sheetView workbookViewId="0">
      <selection activeCell="D16" sqref="D16"/>
    </sheetView>
  </sheetViews>
  <sheetFormatPr defaultRowHeight="15.6"/>
  <cols>
    <col min="1" max="1" width="22" bestFit="1" customWidth="1"/>
    <col min="2" max="2" width="17.69921875" bestFit="1" customWidth="1"/>
    <col min="3" max="14" width="13.5" bestFit="1" customWidth="1"/>
    <col min="15" max="15" width="10.8984375" bestFit="1" customWidth="1"/>
  </cols>
  <sheetData>
    <row r="1" spans="1:15" s="43" customFormat="1">
      <c r="A1" s="43" t="s">
        <v>411</v>
      </c>
      <c r="C1" s="43" t="s">
        <v>87</v>
      </c>
    </row>
    <row r="2" spans="1:15">
      <c r="A2" s="40" t="s">
        <v>85</v>
      </c>
      <c r="B2" s="40" t="s">
        <v>412</v>
      </c>
      <c r="C2" s="19">
        <v>2015</v>
      </c>
      <c r="D2" s="19">
        <v>2016</v>
      </c>
      <c r="E2" s="19">
        <v>2017</v>
      </c>
      <c r="F2" s="19">
        <v>2018</v>
      </c>
      <c r="G2" s="19">
        <v>2019</v>
      </c>
      <c r="H2" s="19">
        <v>2020</v>
      </c>
      <c r="I2" s="19">
        <v>2021</v>
      </c>
      <c r="J2" s="19">
        <v>2022</v>
      </c>
      <c r="K2" s="19">
        <v>2023</v>
      </c>
      <c r="L2" s="19">
        <v>2024</v>
      </c>
      <c r="M2" s="19">
        <v>2025</v>
      </c>
      <c r="N2" s="19">
        <v>2026</v>
      </c>
      <c r="O2" s="19" t="s">
        <v>410</v>
      </c>
    </row>
    <row r="3" spans="1:15">
      <c r="A3" t="s">
        <v>211</v>
      </c>
      <c r="B3" t="s">
        <v>194</v>
      </c>
      <c r="C3">
        <v>2</v>
      </c>
      <c r="D3">
        <v>1</v>
      </c>
      <c r="E3">
        <v>1</v>
      </c>
      <c r="F3">
        <v>2</v>
      </c>
      <c r="G3">
        <v>2</v>
      </c>
      <c r="H3">
        <v>2</v>
      </c>
      <c r="I3">
        <v>1</v>
      </c>
      <c r="J3">
        <v>1</v>
      </c>
      <c r="K3">
        <v>3</v>
      </c>
      <c r="L3">
        <v>2</v>
      </c>
      <c r="M3">
        <v>3</v>
      </c>
      <c r="N3">
        <v>1</v>
      </c>
      <c r="O3">
        <v>21</v>
      </c>
    </row>
    <row r="4" spans="1:15">
      <c r="A4" t="s">
        <v>20</v>
      </c>
      <c r="B4" t="s">
        <v>89</v>
      </c>
      <c r="C4">
        <v>1</v>
      </c>
      <c r="H4">
        <v>1</v>
      </c>
      <c r="I4">
        <v>1</v>
      </c>
      <c r="O4">
        <v>3</v>
      </c>
    </row>
    <row r="5" spans="1:15">
      <c r="B5" t="s">
        <v>194</v>
      </c>
      <c r="C5">
        <v>1</v>
      </c>
      <c r="D5">
        <v>1</v>
      </c>
      <c r="E5">
        <v>2</v>
      </c>
      <c r="F5">
        <v>1</v>
      </c>
      <c r="G5">
        <v>2</v>
      </c>
      <c r="J5">
        <v>2</v>
      </c>
      <c r="O5">
        <v>9</v>
      </c>
    </row>
    <row r="6" spans="1:15">
      <c r="A6" t="s">
        <v>54</v>
      </c>
      <c r="B6" t="s">
        <v>89</v>
      </c>
      <c r="I6">
        <v>8</v>
      </c>
      <c r="J6">
        <v>8</v>
      </c>
      <c r="K6">
        <v>8</v>
      </c>
      <c r="L6">
        <v>8</v>
      </c>
      <c r="M6">
        <v>8</v>
      </c>
      <c r="N6">
        <v>3</v>
      </c>
      <c r="O6">
        <v>43</v>
      </c>
    </row>
    <row r="7" spans="1:15">
      <c r="B7" t="s">
        <v>194</v>
      </c>
      <c r="I7">
        <v>1</v>
      </c>
      <c r="M7">
        <v>1</v>
      </c>
      <c r="O7">
        <v>2</v>
      </c>
    </row>
    <row r="8" spans="1:15">
      <c r="A8" t="s">
        <v>33</v>
      </c>
      <c r="B8" t="s">
        <v>89</v>
      </c>
      <c r="C8">
        <v>4</v>
      </c>
      <c r="D8">
        <v>5</v>
      </c>
      <c r="E8">
        <v>1</v>
      </c>
      <c r="F8">
        <v>1</v>
      </c>
      <c r="G8">
        <v>1</v>
      </c>
      <c r="K8">
        <v>1</v>
      </c>
      <c r="L8">
        <v>1</v>
      </c>
      <c r="O8">
        <v>14</v>
      </c>
    </row>
    <row r="9" spans="1:15">
      <c r="B9" t="s">
        <v>194</v>
      </c>
      <c r="E9">
        <v>2</v>
      </c>
      <c r="F9">
        <v>1</v>
      </c>
      <c r="H9">
        <v>2</v>
      </c>
      <c r="I9">
        <v>1</v>
      </c>
      <c r="O9">
        <v>6</v>
      </c>
    </row>
    <row r="10" spans="1:15">
      <c r="A10" t="s">
        <v>410</v>
      </c>
      <c r="C10">
        <v>8</v>
      </c>
      <c r="D10">
        <v>7</v>
      </c>
      <c r="E10">
        <v>6</v>
      </c>
      <c r="F10">
        <v>5</v>
      </c>
      <c r="G10">
        <v>5</v>
      </c>
      <c r="H10">
        <v>5</v>
      </c>
      <c r="I10">
        <v>12</v>
      </c>
      <c r="J10">
        <v>11</v>
      </c>
      <c r="K10">
        <v>12</v>
      </c>
      <c r="L10">
        <v>11</v>
      </c>
      <c r="M10">
        <v>12</v>
      </c>
      <c r="N10">
        <v>4</v>
      </c>
      <c r="O10">
        <v>98</v>
      </c>
    </row>
    <row r="15" spans="1:15" s="42" customFormat="1">
      <c r="A15" s="42" t="s">
        <v>413</v>
      </c>
      <c r="B15" s="42" t="s">
        <v>87</v>
      </c>
    </row>
    <row r="16" spans="1:15">
      <c r="A16" s="40" t="s">
        <v>85</v>
      </c>
      <c r="B16" s="19">
        <v>2015</v>
      </c>
      <c r="C16" s="19">
        <v>2016</v>
      </c>
      <c r="D16" s="19">
        <v>2017</v>
      </c>
      <c r="E16" s="19">
        <v>2018</v>
      </c>
      <c r="F16" s="19">
        <v>2019</v>
      </c>
      <c r="G16" s="19">
        <v>2020</v>
      </c>
      <c r="H16" s="19">
        <v>2021</v>
      </c>
      <c r="I16" s="19">
        <v>2022</v>
      </c>
      <c r="J16" s="19">
        <v>2023</v>
      </c>
      <c r="K16" s="19">
        <v>2024</v>
      </c>
      <c r="L16" s="19">
        <v>2025</v>
      </c>
      <c r="M16" s="19">
        <v>2026</v>
      </c>
      <c r="N16" s="19" t="s">
        <v>410</v>
      </c>
    </row>
    <row r="17" spans="1:14">
      <c r="A17" t="s">
        <v>211</v>
      </c>
      <c r="B17" s="27">
        <v>79.98</v>
      </c>
      <c r="C17" s="27">
        <v>39.99</v>
      </c>
      <c r="D17" s="27">
        <v>39.99</v>
      </c>
      <c r="E17" s="27">
        <v>79.98</v>
      </c>
      <c r="F17" s="27">
        <v>79.98</v>
      </c>
      <c r="G17" s="27">
        <v>79.98</v>
      </c>
      <c r="H17" s="27">
        <v>39.99</v>
      </c>
      <c r="I17" s="27">
        <v>39.99</v>
      </c>
      <c r="J17" s="27">
        <v>119.97</v>
      </c>
      <c r="K17" s="27">
        <v>79.98</v>
      </c>
      <c r="L17" s="27">
        <v>119.97</v>
      </c>
      <c r="M17" s="27">
        <v>39.99</v>
      </c>
      <c r="N17" s="27">
        <v>839.79000000000008</v>
      </c>
    </row>
    <row r="18" spans="1:14">
      <c r="A18" t="s">
        <v>20</v>
      </c>
      <c r="B18" s="27">
        <v>39.979999999999997</v>
      </c>
      <c r="C18" s="27">
        <v>19.989999999999998</v>
      </c>
      <c r="D18" s="27">
        <v>39.979999999999997</v>
      </c>
      <c r="E18" s="27">
        <v>19.989999999999998</v>
      </c>
      <c r="F18" s="27">
        <v>39.979999999999997</v>
      </c>
      <c r="G18" s="27">
        <v>19.989999999999998</v>
      </c>
      <c r="H18" s="27">
        <v>19.989999999999998</v>
      </c>
      <c r="I18" s="27">
        <v>39.979999999999997</v>
      </c>
      <c r="J18" s="27"/>
      <c r="K18" s="27"/>
      <c r="L18" s="27"/>
      <c r="M18" s="27"/>
      <c r="N18" s="27">
        <v>239.88</v>
      </c>
    </row>
    <row r="19" spans="1:14">
      <c r="A19" t="s">
        <v>54</v>
      </c>
      <c r="B19" s="27"/>
      <c r="C19" s="27"/>
      <c r="D19" s="27"/>
      <c r="E19" s="27"/>
      <c r="F19" s="27"/>
      <c r="G19" s="27"/>
      <c r="H19" s="27">
        <v>44.910000000000011</v>
      </c>
      <c r="I19" s="27">
        <v>39.920000000000009</v>
      </c>
      <c r="J19" s="27">
        <v>39.920000000000009</v>
      </c>
      <c r="K19" s="27">
        <v>39.920000000000009</v>
      </c>
      <c r="L19" s="27">
        <v>48.910000000000011</v>
      </c>
      <c r="M19" s="27">
        <v>14.97</v>
      </c>
      <c r="N19" s="27">
        <v>228.55000000000004</v>
      </c>
    </row>
    <row r="20" spans="1:14">
      <c r="A20" t="s">
        <v>33</v>
      </c>
      <c r="B20" s="27">
        <v>39.96</v>
      </c>
      <c r="C20" s="27">
        <v>49.95</v>
      </c>
      <c r="D20" s="27">
        <v>29.97</v>
      </c>
      <c r="E20" s="27">
        <v>19.98</v>
      </c>
      <c r="F20" s="27">
        <v>9.99</v>
      </c>
      <c r="G20" s="27">
        <v>19.98</v>
      </c>
      <c r="H20" s="27">
        <v>9.99</v>
      </c>
      <c r="I20" s="27"/>
      <c r="J20" s="27">
        <v>9.99</v>
      </c>
      <c r="K20" s="27">
        <v>9.99</v>
      </c>
      <c r="L20" s="27"/>
      <c r="M20" s="27"/>
      <c r="N20" s="27">
        <v>199.8</v>
      </c>
    </row>
    <row r="21" spans="1:14">
      <c r="A21" t="s">
        <v>410</v>
      </c>
      <c r="B21" s="27">
        <v>159.92000000000002</v>
      </c>
      <c r="C21" s="27">
        <v>109.93</v>
      </c>
      <c r="D21" s="27">
        <v>109.94</v>
      </c>
      <c r="E21" s="27">
        <v>119.95</v>
      </c>
      <c r="F21" s="27">
        <v>129.95000000000002</v>
      </c>
      <c r="G21" s="27">
        <v>119.95</v>
      </c>
      <c r="H21" s="27">
        <v>114.88000000000001</v>
      </c>
      <c r="I21" s="27">
        <v>119.89000000000001</v>
      </c>
      <c r="J21" s="27">
        <v>169.88000000000002</v>
      </c>
      <c r="K21" s="27">
        <v>129.89000000000001</v>
      </c>
      <c r="L21" s="27">
        <v>168.88</v>
      </c>
      <c r="M21" s="27">
        <v>54.96</v>
      </c>
      <c r="N21" s="27">
        <v>1508.02</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2475E-752A-42BD-9791-01FB36606362}">
  <dimension ref="A1:E6"/>
  <sheetViews>
    <sheetView workbookViewId="0">
      <selection activeCell="E4" sqref="E4"/>
    </sheetView>
  </sheetViews>
  <sheetFormatPr defaultRowHeight="15.6"/>
  <cols>
    <col min="1" max="1" width="25" customWidth="1"/>
    <col min="2" max="2" width="14.796875" style="27" customWidth="1"/>
    <col min="3" max="3" width="13.796875" style="27" customWidth="1"/>
    <col min="4" max="4" width="17.8984375" style="37" customWidth="1"/>
    <col min="5" max="5" width="13.8984375" style="19" bestFit="1" customWidth="1"/>
  </cols>
  <sheetData>
    <row r="1" spans="1:5" s="20" customFormat="1">
      <c r="A1" s="20" t="s">
        <v>414</v>
      </c>
      <c r="B1" s="33" t="s">
        <v>415</v>
      </c>
      <c r="C1" s="33" t="s">
        <v>416</v>
      </c>
      <c r="D1" s="36" t="s">
        <v>417</v>
      </c>
      <c r="E1" s="41" t="s">
        <v>418</v>
      </c>
    </row>
    <row r="2" spans="1:5">
      <c r="A2" t="s">
        <v>185</v>
      </c>
      <c r="B2" s="27">
        <v>49.99</v>
      </c>
      <c r="C2" s="27">
        <v>609.79999999999995</v>
      </c>
      <c r="D2" s="37">
        <v>659.79</v>
      </c>
      <c r="E2" s="19">
        <v>20</v>
      </c>
    </row>
    <row r="3" spans="1:5">
      <c r="A3" t="s">
        <v>280</v>
      </c>
      <c r="B3" s="27">
        <v>59.99</v>
      </c>
      <c r="C3" s="27">
        <v>0</v>
      </c>
      <c r="D3" s="37">
        <v>59.99</v>
      </c>
      <c r="E3" s="19">
        <v>0</v>
      </c>
    </row>
    <row r="4" spans="1:5">
      <c r="A4" t="s">
        <v>278</v>
      </c>
      <c r="B4" s="27">
        <v>59.99</v>
      </c>
      <c r="C4" s="27">
        <v>1508.02</v>
      </c>
      <c r="D4" s="37">
        <v>1568.01</v>
      </c>
      <c r="E4" s="19">
        <v>98</v>
      </c>
    </row>
    <row r="5" spans="1:5">
      <c r="A5" t="s">
        <v>268</v>
      </c>
      <c r="B5" s="27">
        <v>39.99</v>
      </c>
      <c r="C5" s="27">
        <v>0</v>
      </c>
      <c r="D5" s="37">
        <v>39.99</v>
      </c>
      <c r="E5" s="19">
        <v>0</v>
      </c>
    </row>
    <row r="6" spans="1:5">
      <c r="A6" t="s">
        <v>269</v>
      </c>
      <c r="B6" s="27">
        <v>39.99</v>
      </c>
      <c r="C6" s="27">
        <v>0</v>
      </c>
      <c r="D6" s="37">
        <v>39.99</v>
      </c>
      <c r="E6" s="19">
        <v>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CD989-9A6A-402E-B345-E79C8598BD5D}">
  <dimension ref="A1:E139"/>
  <sheetViews>
    <sheetView topLeftCell="A83" workbookViewId="0">
      <selection activeCell="E90" sqref="E90"/>
    </sheetView>
  </sheetViews>
  <sheetFormatPr defaultRowHeight="15.6"/>
  <cols>
    <col min="1" max="1" width="18.5" customWidth="1"/>
    <col min="2" max="2" width="13.296875" customWidth="1"/>
    <col min="3" max="3" width="28.296875" customWidth="1"/>
    <col min="4" max="4" width="30.09765625" bestFit="1" customWidth="1"/>
    <col min="5" max="5" width="10.69921875" customWidth="1"/>
  </cols>
  <sheetData>
    <row r="1" spans="1:5" s="20" customFormat="1">
      <c r="A1" s="20" t="s">
        <v>284</v>
      </c>
      <c r="B1" s="20" t="s">
        <v>296</v>
      </c>
      <c r="C1" s="20" t="s">
        <v>219</v>
      </c>
      <c r="D1" s="20" t="s">
        <v>414</v>
      </c>
      <c r="E1" s="20" t="s">
        <v>419</v>
      </c>
    </row>
    <row r="2" spans="1:5">
      <c r="A2" t="s">
        <v>285</v>
      </c>
      <c r="B2" t="s">
        <v>302</v>
      </c>
      <c r="C2" t="s">
        <v>224</v>
      </c>
      <c r="D2" t="s">
        <v>185</v>
      </c>
      <c r="E2" t="s">
        <v>267</v>
      </c>
    </row>
    <row r="3" spans="1:5">
      <c r="A3" t="s">
        <v>285</v>
      </c>
      <c r="B3" t="s">
        <v>302</v>
      </c>
      <c r="C3" t="s">
        <v>224</v>
      </c>
      <c r="D3" t="s">
        <v>280</v>
      </c>
      <c r="E3" t="s">
        <v>270</v>
      </c>
    </row>
    <row r="4" spans="1:5">
      <c r="A4" t="s">
        <v>285</v>
      </c>
      <c r="B4" t="s">
        <v>302</v>
      </c>
      <c r="C4" t="s">
        <v>224</v>
      </c>
      <c r="D4" t="s">
        <v>279</v>
      </c>
      <c r="E4" t="s">
        <v>270</v>
      </c>
    </row>
    <row r="5" spans="1:5">
      <c r="A5" t="s">
        <v>285</v>
      </c>
      <c r="B5" t="s">
        <v>302</v>
      </c>
      <c r="C5" t="s">
        <v>224</v>
      </c>
      <c r="D5" t="s">
        <v>278</v>
      </c>
      <c r="E5" t="s">
        <v>270</v>
      </c>
    </row>
    <row r="6" spans="1:5">
      <c r="A6" t="s">
        <v>285</v>
      </c>
      <c r="B6" t="s">
        <v>302</v>
      </c>
      <c r="C6" t="s">
        <v>224</v>
      </c>
      <c r="D6" t="s">
        <v>268</v>
      </c>
      <c r="E6" t="s">
        <v>267</v>
      </c>
    </row>
    <row r="7" spans="1:5">
      <c r="A7" t="s">
        <v>285</v>
      </c>
      <c r="B7" t="s">
        <v>302</v>
      </c>
      <c r="C7" t="s">
        <v>224</v>
      </c>
      <c r="D7" t="s">
        <v>269</v>
      </c>
      <c r="E7" t="s">
        <v>267</v>
      </c>
    </row>
    <row r="8" spans="1:5">
      <c r="A8" t="s">
        <v>285</v>
      </c>
      <c r="B8" t="s">
        <v>302</v>
      </c>
      <c r="C8" t="s">
        <v>420</v>
      </c>
      <c r="D8" t="s">
        <v>185</v>
      </c>
      <c r="E8" t="s">
        <v>267</v>
      </c>
    </row>
    <row r="9" spans="1:5">
      <c r="A9" t="s">
        <v>285</v>
      </c>
      <c r="B9" t="s">
        <v>302</v>
      </c>
      <c r="C9" t="s">
        <v>420</v>
      </c>
      <c r="D9" t="s">
        <v>280</v>
      </c>
      <c r="E9" t="s">
        <v>270</v>
      </c>
    </row>
    <row r="10" spans="1:5">
      <c r="A10" t="s">
        <v>285</v>
      </c>
      <c r="B10" t="s">
        <v>302</v>
      </c>
      <c r="C10" t="s">
        <v>420</v>
      </c>
      <c r="D10" t="s">
        <v>279</v>
      </c>
      <c r="E10" t="s">
        <v>270</v>
      </c>
    </row>
    <row r="11" spans="1:5">
      <c r="A11" t="s">
        <v>285</v>
      </c>
      <c r="B11" t="s">
        <v>302</v>
      </c>
      <c r="C11" t="s">
        <v>420</v>
      </c>
      <c r="D11" t="s">
        <v>278</v>
      </c>
      <c r="E11" t="s">
        <v>270</v>
      </c>
    </row>
    <row r="12" spans="1:5">
      <c r="A12" t="s">
        <v>285</v>
      </c>
      <c r="B12" t="s">
        <v>302</v>
      </c>
      <c r="C12" t="s">
        <v>420</v>
      </c>
      <c r="D12" t="s">
        <v>268</v>
      </c>
      <c r="E12" t="s">
        <v>267</v>
      </c>
    </row>
    <row r="13" spans="1:5">
      <c r="A13" t="s">
        <v>285</v>
      </c>
      <c r="B13" t="s">
        <v>302</v>
      </c>
      <c r="C13" t="s">
        <v>420</v>
      </c>
      <c r="D13" t="s">
        <v>269</v>
      </c>
      <c r="E13" t="s">
        <v>270</v>
      </c>
    </row>
    <row r="14" spans="1:5">
      <c r="A14" t="s">
        <v>285</v>
      </c>
      <c r="B14" t="s">
        <v>303</v>
      </c>
      <c r="C14" t="s">
        <v>261</v>
      </c>
      <c r="D14" t="s">
        <v>185</v>
      </c>
      <c r="E14" t="s">
        <v>267</v>
      </c>
    </row>
    <row r="15" spans="1:5">
      <c r="A15" t="s">
        <v>285</v>
      </c>
      <c r="B15" t="s">
        <v>303</v>
      </c>
      <c r="C15" t="s">
        <v>261</v>
      </c>
      <c r="D15" t="s">
        <v>280</v>
      </c>
      <c r="E15" t="s">
        <v>270</v>
      </c>
    </row>
    <row r="16" spans="1:5">
      <c r="A16" t="s">
        <v>285</v>
      </c>
      <c r="B16" t="s">
        <v>303</v>
      </c>
      <c r="C16" t="s">
        <v>261</v>
      </c>
      <c r="D16" t="s">
        <v>279</v>
      </c>
      <c r="E16" t="s">
        <v>270</v>
      </c>
    </row>
    <row r="17" spans="1:5">
      <c r="A17" t="s">
        <v>285</v>
      </c>
      <c r="B17" t="s">
        <v>303</v>
      </c>
      <c r="C17" t="s">
        <v>261</v>
      </c>
      <c r="D17" t="s">
        <v>278</v>
      </c>
      <c r="E17" t="s">
        <v>270</v>
      </c>
    </row>
    <row r="18" spans="1:5">
      <c r="A18" t="s">
        <v>285</v>
      </c>
      <c r="B18" t="s">
        <v>303</v>
      </c>
      <c r="C18" t="s">
        <v>261</v>
      </c>
      <c r="D18" t="s">
        <v>268</v>
      </c>
      <c r="E18" t="s">
        <v>267</v>
      </c>
    </row>
    <row r="19" spans="1:5">
      <c r="A19" t="s">
        <v>285</v>
      </c>
      <c r="B19" t="s">
        <v>303</v>
      </c>
      <c r="C19" t="s">
        <v>261</v>
      </c>
      <c r="D19" t="s">
        <v>269</v>
      </c>
      <c r="E19" t="s">
        <v>270</v>
      </c>
    </row>
    <row r="20" spans="1:5">
      <c r="A20" t="s">
        <v>285</v>
      </c>
      <c r="B20" t="s">
        <v>303</v>
      </c>
      <c r="C20" t="s">
        <v>421</v>
      </c>
      <c r="D20" t="s">
        <v>185</v>
      </c>
      <c r="E20" t="s">
        <v>267</v>
      </c>
    </row>
    <row r="21" spans="1:5">
      <c r="A21" t="s">
        <v>285</v>
      </c>
      <c r="B21" t="s">
        <v>303</v>
      </c>
      <c r="C21" t="s">
        <v>421</v>
      </c>
      <c r="D21" t="s">
        <v>280</v>
      </c>
      <c r="E21" t="s">
        <v>270</v>
      </c>
    </row>
    <row r="22" spans="1:5">
      <c r="A22" t="s">
        <v>285</v>
      </c>
      <c r="B22" t="s">
        <v>303</v>
      </c>
      <c r="C22" t="s">
        <v>421</v>
      </c>
      <c r="D22" t="s">
        <v>279</v>
      </c>
      <c r="E22" t="s">
        <v>270</v>
      </c>
    </row>
    <row r="23" spans="1:5">
      <c r="A23" t="s">
        <v>285</v>
      </c>
      <c r="B23" t="s">
        <v>303</v>
      </c>
      <c r="C23" t="s">
        <v>421</v>
      </c>
      <c r="D23" t="s">
        <v>278</v>
      </c>
      <c r="E23" t="s">
        <v>270</v>
      </c>
    </row>
    <row r="24" spans="1:5">
      <c r="A24" t="s">
        <v>285</v>
      </c>
      <c r="B24" t="s">
        <v>303</v>
      </c>
      <c r="C24" t="s">
        <v>421</v>
      </c>
      <c r="D24" t="s">
        <v>268</v>
      </c>
      <c r="E24" t="s">
        <v>271</v>
      </c>
    </row>
    <row r="25" spans="1:5">
      <c r="A25" t="s">
        <v>285</v>
      </c>
      <c r="B25" t="s">
        <v>303</v>
      </c>
      <c r="C25" t="s">
        <v>421</v>
      </c>
      <c r="D25" t="s">
        <v>269</v>
      </c>
      <c r="E25" t="s">
        <v>267</v>
      </c>
    </row>
    <row r="26" spans="1:5">
      <c r="A26" t="s">
        <v>286</v>
      </c>
      <c r="B26" t="s">
        <v>302</v>
      </c>
      <c r="C26" t="s">
        <v>259</v>
      </c>
      <c r="D26" t="s">
        <v>185</v>
      </c>
      <c r="E26" t="s">
        <v>267</v>
      </c>
    </row>
    <row r="27" spans="1:5">
      <c r="A27" t="s">
        <v>286</v>
      </c>
      <c r="B27" t="s">
        <v>302</v>
      </c>
      <c r="C27" t="s">
        <v>259</v>
      </c>
      <c r="D27" t="s">
        <v>280</v>
      </c>
      <c r="E27" t="s">
        <v>270</v>
      </c>
    </row>
    <row r="28" spans="1:5">
      <c r="A28" t="s">
        <v>286</v>
      </c>
      <c r="B28" t="s">
        <v>302</v>
      </c>
      <c r="C28" t="s">
        <v>259</v>
      </c>
      <c r="D28" t="s">
        <v>279</v>
      </c>
      <c r="E28" t="s">
        <v>270</v>
      </c>
    </row>
    <row r="29" spans="1:5">
      <c r="A29" t="s">
        <v>286</v>
      </c>
      <c r="B29" t="s">
        <v>302</v>
      </c>
      <c r="C29" t="s">
        <v>259</v>
      </c>
      <c r="D29" t="s">
        <v>278</v>
      </c>
      <c r="E29" t="s">
        <v>270</v>
      </c>
    </row>
    <row r="30" spans="1:5">
      <c r="A30" t="s">
        <v>286</v>
      </c>
      <c r="B30" t="s">
        <v>302</v>
      </c>
      <c r="C30" t="s">
        <v>259</v>
      </c>
      <c r="D30" t="s">
        <v>268</v>
      </c>
      <c r="E30" t="s">
        <v>267</v>
      </c>
    </row>
    <row r="31" spans="1:5">
      <c r="A31" t="s">
        <v>286</v>
      </c>
      <c r="B31" t="s">
        <v>302</v>
      </c>
      <c r="C31" t="s">
        <v>259</v>
      </c>
      <c r="D31" t="s">
        <v>269</v>
      </c>
      <c r="E31" t="s">
        <v>267</v>
      </c>
    </row>
    <row r="32" spans="1:5">
      <c r="A32" t="s">
        <v>286</v>
      </c>
      <c r="B32" t="s">
        <v>303</v>
      </c>
      <c r="C32" t="s">
        <v>234</v>
      </c>
      <c r="D32" t="s">
        <v>185</v>
      </c>
      <c r="E32" t="s">
        <v>267</v>
      </c>
    </row>
    <row r="33" spans="1:5">
      <c r="A33" t="s">
        <v>286</v>
      </c>
      <c r="B33" t="s">
        <v>303</v>
      </c>
      <c r="C33" t="s">
        <v>234</v>
      </c>
      <c r="D33" t="s">
        <v>280</v>
      </c>
      <c r="E33" t="s">
        <v>270</v>
      </c>
    </row>
    <row r="34" spans="1:5">
      <c r="A34" t="s">
        <v>286</v>
      </c>
      <c r="B34" t="s">
        <v>303</v>
      </c>
      <c r="C34" t="s">
        <v>234</v>
      </c>
      <c r="D34" t="s">
        <v>279</v>
      </c>
      <c r="E34" t="s">
        <v>267</v>
      </c>
    </row>
    <row r="35" spans="1:5">
      <c r="A35" t="s">
        <v>286</v>
      </c>
      <c r="B35" t="s">
        <v>303</v>
      </c>
      <c r="C35" t="s">
        <v>234</v>
      </c>
      <c r="D35" t="s">
        <v>278</v>
      </c>
      <c r="E35" t="s">
        <v>267</v>
      </c>
    </row>
    <row r="36" spans="1:5">
      <c r="A36" t="s">
        <v>286</v>
      </c>
      <c r="B36" t="s">
        <v>303</v>
      </c>
      <c r="C36" t="s">
        <v>234</v>
      </c>
      <c r="D36" t="s">
        <v>268</v>
      </c>
      <c r="E36" t="s">
        <v>267</v>
      </c>
    </row>
    <row r="37" spans="1:5">
      <c r="A37" t="s">
        <v>286</v>
      </c>
      <c r="B37" t="s">
        <v>303</v>
      </c>
      <c r="C37" t="s">
        <v>234</v>
      </c>
      <c r="D37" t="s">
        <v>269</v>
      </c>
      <c r="E37" t="s">
        <v>267</v>
      </c>
    </row>
    <row r="38" spans="1:5">
      <c r="A38" t="s">
        <v>286</v>
      </c>
      <c r="B38" t="s">
        <v>304</v>
      </c>
      <c r="C38" t="s">
        <v>235</v>
      </c>
      <c r="D38" t="s">
        <v>185</v>
      </c>
      <c r="E38" t="s">
        <v>270</v>
      </c>
    </row>
    <row r="39" spans="1:5">
      <c r="A39" t="s">
        <v>286</v>
      </c>
      <c r="B39" t="s">
        <v>304</v>
      </c>
      <c r="C39" t="s">
        <v>235</v>
      </c>
      <c r="D39" t="s">
        <v>280</v>
      </c>
      <c r="E39" t="s">
        <v>270</v>
      </c>
    </row>
    <row r="40" spans="1:5">
      <c r="A40" t="s">
        <v>286</v>
      </c>
      <c r="B40" t="s">
        <v>304</v>
      </c>
      <c r="C40" t="s">
        <v>235</v>
      </c>
      <c r="D40" t="s">
        <v>279</v>
      </c>
      <c r="E40" t="s">
        <v>267</v>
      </c>
    </row>
    <row r="41" spans="1:5">
      <c r="A41" t="s">
        <v>286</v>
      </c>
      <c r="B41" t="s">
        <v>304</v>
      </c>
      <c r="C41" t="s">
        <v>235</v>
      </c>
      <c r="D41" t="s">
        <v>278</v>
      </c>
      <c r="E41" t="s">
        <v>267</v>
      </c>
    </row>
    <row r="42" spans="1:5">
      <c r="A42" t="s">
        <v>286</v>
      </c>
      <c r="B42" t="s">
        <v>304</v>
      </c>
      <c r="C42" t="s">
        <v>235</v>
      </c>
      <c r="D42" t="s">
        <v>268</v>
      </c>
      <c r="E42" t="s">
        <v>270</v>
      </c>
    </row>
    <row r="43" spans="1:5">
      <c r="A43" t="s">
        <v>286</v>
      </c>
      <c r="B43" t="s">
        <v>304</v>
      </c>
      <c r="C43" t="s">
        <v>235</v>
      </c>
      <c r="D43" t="s">
        <v>269</v>
      </c>
      <c r="E43" t="s">
        <v>267</v>
      </c>
    </row>
    <row r="44" spans="1:5">
      <c r="A44" t="s">
        <v>286</v>
      </c>
      <c r="B44" t="s">
        <v>303</v>
      </c>
      <c r="C44" t="s">
        <v>228</v>
      </c>
      <c r="D44" t="s">
        <v>185</v>
      </c>
      <c r="E44" t="s">
        <v>267</v>
      </c>
    </row>
    <row r="45" spans="1:5">
      <c r="A45" t="s">
        <v>286</v>
      </c>
      <c r="B45" t="s">
        <v>303</v>
      </c>
      <c r="C45" t="s">
        <v>228</v>
      </c>
      <c r="D45" t="s">
        <v>280</v>
      </c>
      <c r="E45" t="s">
        <v>270</v>
      </c>
    </row>
    <row r="46" spans="1:5">
      <c r="A46" t="s">
        <v>286</v>
      </c>
      <c r="B46" t="s">
        <v>303</v>
      </c>
      <c r="C46" t="s">
        <v>228</v>
      </c>
      <c r="D46" t="s">
        <v>279</v>
      </c>
      <c r="E46" t="s">
        <v>270</v>
      </c>
    </row>
    <row r="47" spans="1:5">
      <c r="A47" t="s">
        <v>286</v>
      </c>
      <c r="B47" t="s">
        <v>303</v>
      </c>
      <c r="C47" t="s">
        <v>228</v>
      </c>
      <c r="D47" t="s">
        <v>278</v>
      </c>
      <c r="E47" t="s">
        <v>270</v>
      </c>
    </row>
    <row r="48" spans="1:5">
      <c r="A48" t="s">
        <v>286</v>
      </c>
      <c r="B48" t="s">
        <v>303</v>
      </c>
      <c r="C48" t="s">
        <v>228</v>
      </c>
      <c r="D48" t="s">
        <v>268</v>
      </c>
      <c r="E48" t="s">
        <v>267</v>
      </c>
    </row>
    <row r="49" spans="1:5">
      <c r="A49" t="s">
        <v>286</v>
      </c>
      <c r="B49" t="s">
        <v>303</v>
      </c>
      <c r="C49" t="s">
        <v>228</v>
      </c>
      <c r="D49" t="s">
        <v>269</v>
      </c>
      <c r="E49" t="s">
        <v>267</v>
      </c>
    </row>
    <row r="50" spans="1:5">
      <c r="A50" t="s">
        <v>286</v>
      </c>
      <c r="B50" t="s">
        <v>303</v>
      </c>
      <c r="C50" t="s">
        <v>293</v>
      </c>
      <c r="D50" t="s">
        <v>185</v>
      </c>
      <c r="E50" t="s">
        <v>267</v>
      </c>
    </row>
    <row r="51" spans="1:5">
      <c r="A51" t="s">
        <v>286</v>
      </c>
      <c r="B51" t="s">
        <v>303</v>
      </c>
      <c r="C51" t="s">
        <v>293</v>
      </c>
      <c r="D51" t="s">
        <v>280</v>
      </c>
      <c r="E51" t="s">
        <v>270</v>
      </c>
    </row>
    <row r="52" spans="1:5">
      <c r="A52" t="s">
        <v>286</v>
      </c>
      <c r="B52" t="s">
        <v>303</v>
      </c>
      <c r="C52" t="s">
        <v>293</v>
      </c>
      <c r="D52" t="s">
        <v>279</v>
      </c>
      <c r="E52" t="s">
        <v>271</v>
      </c>
    </row>
    <row r="53" spans="1:5">
      <c r="A53" t="s">
        <v>286</v>
      </c>
      <c r="B53" t="s">
        <v>303</v>
      </c>
      <c r="C53" t="s">
        <v>293</v>
      </c>
      <c r="D53" t="s">
        <v>278</v>
      </c>
      <c r="E53" t="s">
        <v>271</v>
      </c>
    </row>
    <row r="54" spans="1:5">
      <c r="A54" t="s">
        <v>286</v>
      </c>
      <c r="B54" t="s">
        <v>303</v>
      </c>
      <c r="C54" t="s">
        <v>293</v>
      </c>
      <c r="D54" t="s">
        <v>268</v>
      </c>
      <c r="E54" t="s">
        <v>267</v>
      </c>
    </row>
    <row r="55" spans="1:5">
      <c r="A55" t="s">
        <v>286</v>
      </c>
      <c r="B55" t="s">
        <v>303</v>
      </c>
      <c r="C55" t="s">
        <v>293</v>
      </c>
      <c r="D55" t="s">
        <v>269</v>
      </c>
      <c r="E55" t="s">
        <v>267</v>
      </c>
    </row>
    <row r="56" spans="1:5">
      <c r="A56" t="s">
        <v>286</v>
      </c>
      <c r="B56" t="s">
        <v>303</v>
      </c>
      <c r="C56" t="s">
        <v>266</v>
      </c>
      <c r="D56" t="s">
        <v>185</v>
      </c>
      <c r="E56" t="s">
        <v>267</v>
      </c>
    </row>
    <row r="57" spans="1:5">
      <c r="A57" t="s">
        <v>286</v>
      </c>
      <c r="B57" t="s">
        <v>303</v>
      </c>
      <c r="C57" t="s">
        <v>266</v>
      </c>
      <c r="D57" t="s">
        <v>280</v>
      </c>
      <c r="E57" t="s">
        <v>270</v>
      </c>
    </row>
    <row r="58" spans="1:5">
      <c r="A58" t="s">
        <v>286</v>
      </c>
      <c r="B58" t="s">
        <v>303</v>
      </c>
      <c r="C58" t="s">
        <v>266</v>
      </c>
      <c r="D58" t="s">
        <v>279</v>
      </c>
      <c r="E58" t="s">
        <v>267</v>
      </c>
    </row>
    <row r="59" spans="1:5">
      <c r="A59" t="s">
        <v>286</v>
      </c>
      <c r="B59" t="s">
        <v>303</v>
      </c>
      <c r="C59" t="s">
        <v>266</v>
      </c>
      <c r="D59" t="s">
        <v>278</v>
      </c>
      <c r="E59" t="s">
        <v>267</v>
      </c>
    </row>
    <row r="60" spans="1:5">
      <c r="A60" t="s">
        <v>286</v>
      </c>
      <c r="B60" t="s">
        <v>303</v>
      </c>
      <c r="C60" t="s">
        <v>266</v>
      </c>
      <c r="D60" t="s">
        <v>268</v>
      </c>
      <c r="E60" t="s">
        <v>267</v>
      </c>
    </row>
    <row r="61" spans="1:5">
      <c r="A61" t="s">
        <v>286</v>
      </c>
      <c r="B61" t="s">
        <v>303</v>
      </c>
      <c r="C61" t="s">
        <v>266</v>
      </c>
      <c r="D61" t="s">
        <v>269</v>
      </c>
      <c r="E61" t="s">
        <v>270</v>
      </c>
    </row>
    <row r="62" spans="1:5">
      <c r="A62" t="s">
        <v>287</v>
      </c>
      <c r="B62" t="s">
        <v>302</v>
      </c>
      <c r="C62" t="s">
        <v>283</v>
      </c>
      <c r="D62" t="s">
        <v>185</v>
      </c>
      <c r="E62" t="s">
        <v>271</v>
      </c>
    </row>
    <row r="63" spans="1:5">
      <c r="A63" t="s">
        <v>287</v>
      </c>
      <c r="B63" t="s">
        <v>302</v>
      </c>
      <c r="C63" t="s">
        <v>283</v>
      </c>
      <c r="D63" t="s">
        <v>280</v>
      </c>
      <c r="E63" t="s">
        <v>270</v>
      </c>
    </row>
    <row r="64" spans="1:5">
      <c r="A64" t="s">
        <v>287</v>
      </c>
      <c r="B64" t="s">
        <v>302</v>
      </c>
      <c r="C64" t="s">
        <v>283</v>
      </c>
      <c r="D64" t="s">
        <v>279</v>
      </c>
      <c r="E64" t="s">
        <v>267</v>
      </c>
    </row>
    <row r="65" spans="1:5">
      <c r="A65" t="s">
        <v>287</v>
      </c>
      <c r="B65" t="s">
        <v>302</v>
      </c>
      <c r="C65" t="s">
        <v>283</v>
      </c>
      <c r="D65" t="s">
        <v>278</v>
      </c>
      <c r="E65" t="s">
        <v>267</v>
      </c>
    </row>
    <row r="66" spans="1:5">
      <c r="A66" t="s">
        <v>287</v>
      </c>
      <c r="B66" t="s">
        <v>302</v>
      </c>
      <c r="C66" t="s">
        <v>283</v>
      </c>
      <c r="D66" t="s">
        <v>268</v>
      </c>
      <c r="E66" t="s">
        <v>271</v>
      </c>
    </row>
    <row r="67" spans="1:5">
      <c r="A67" t="s">
        <v>287</v>
      </c>
      <c r="B67" t="s">
        <v>302</v>
      </c>
      <c r="C67" t="s">
        <v>283</v>
      </c>
      <c r="D67" t="s">
        <v>269</v>
      </c>
      <c r="E67" t="s">
        <v>271</v>
      </c>
    </row>
    <row r="68" spans="1:5">
      <c r="A68" t="s">
        <v>287</v>
      </c>
      <c r="B68" t="s">
        <v>302</v>
      </c>
      <c r="C68" t="s">
        <v>282</v>
      </c>
      <c r="D68" t="s">
        <v>185</v>
      </c>
      <c r="E68" t="s">
        <v>267</v>
      </c>
    </row>
    <row r="69" spans="1:5">
      <c r="A69" t="s">
        <v>287</v>
      </c>
      <c r="B69" t="s">
        <v>302</v>
      </c>
      <c r="C69" t="s">
        <v>282</v>
      </c>
      <c r="D69" t="s">
        <v>280</v>
      </c>
      <c r="E69" t="s">
        <v>270</v>
      </c>
    </row>
    <row r="70" spans="1:5">
      <c r="A70" t="s">
        <v>287</v>
      </c>
      <c r="B70" t="s">
        <v>302</v>
      </c>
      <c r="C70" t="s">
        <v>282</v>
      </c>
      <c r="D70" t="s">
        <v>279</v>
      </c>
      <c r="E70" t="s">
        <v>267</v>
      </c>
    </row>
    <row r="71" spans="1:5">
      <c r="A71" t="s">
        <v>287</v>
      </c>
      <c r="B71" t="s">
        <v>302</v>
      </c>
      <c r="C71" t="s">
        <v>282</v>
      </c>
      <c r="D71" t="s">
        <v>278</v>
      </c>
      <c r="E71" t="s">
        <v>267</v>
      </c>
    </row>
    <row r="72" spans="1:5">
      <c r="A72" t="s">
        <v>287</v>
      </c>
      <c r="B72" t="s">
        <v>302</v>
      </c>
      <c r="C72" t="s">
        <v>282</v>
      </c>
      <c r="D72" t="s">
        <v>268</v>
      </c>
      <c r="E72" t="s">
        <v>270</v>
      </c>
    </row>
    <row r="73" spans="1:5">
      <c r="A73" t="s">
        <v>287</v>
      </c>
      <c r="B73" t="s">
        <v>302</v>
      </c>
      <c r="C73" t="s">
        <v>282</v>
      </c>
      <c r="D73" t="s">
        <v>269</v>
      </c>
      <c r="E73" t="s">
        <v>267</v>
      </c>
    </row>
    <row r="74" spans="1:5">
      <c r="A74" t="s">
        <v>287</v>
      </c>
      <c r="B74" t="s">
        <v>303</v>
      </c>
      <c r="C74" t="s">
        <v>281</v>
      </c>
      <c r="D74" t="s">
        <v>185</v>
      </c>
      <c r="E74" t="s">
        <v>270</v>
      </c>
    </row>
    <row r="75" spans="1:5">
      <c r="A75" t="s">
        <v>287</v>
      </c>
      <c r="B75" t="s">
        <v>303</v>
      </c>
      <c r="C75" t="s">
        <v>281</v>
      </c>
      <c r="D75" t="s">
        <v>280</v>
      </c>
      <c r="E75" t="s">
        <v>270</v>
      </c>
    </row>
    <row r="76" spans="1:5">
      <c r="A76" t="s">
        <v>287</v>
      </c>
      <c r="B76" t="s">
        <v>303</v>
      </c>
      <c r="C76" t="s">
        <v>281</v>
      </c>
      <c r="D76" t="s">
        <v>279</v>
      </c>
      <c r="E76" t="s">
        <v>267</v>
      </c>
    </row>
    <row r="77" spans="1:5">
      <c r="A77" t="s">
        <v>287</v>
      </c>
      <c r="B77" t="s">
        <v>303</v>
      </c>
      <c r="C77" t="s">
        <v>281</v>
      </c>
      <c r="D77" t="s">
        <v>278</v>
      </c>
      <c r="E77" t="s">
        <v>267</v>
      </c>
    </row>
    <row r="78" spans="1:5">
      <c r="A78" t="s">
        <v>287</v>
      </c>
      <c r="B78" t="s">
        <v>303</v>
      </c>
      <c r="C78" t="s">
        <v>281</v>
      </c>
      <c r="D78" t="s">
        <v>268</v>
      </c>
      <c r="E78" t="s">
        <v>270</v>
      </c>
    </row>
    <row r="79" spans="1:5">
      <c r="A79" t="s">
        <v>287</v>
      </c>
      <c r="B79" t="s">
        <v>303</v>
      </c>
      <c r="C79" t="s">
        <v>281</v>
      </c>
      <c r="D79" t="s">
        <v>269</v>
      </c>
      <c r="E79" t="s">
        <v>267</v>
      </c>
    </row>
    <row r="80" spans="1:5">
      <c r="A80" t="s">
        <v>287</v>
      </c>
      <c r="B80" t="s">
        <v>302</v>
      </c>
      <c r="C80" t="s">
        <v>233</v>
      </c>
      <c r="D80" t="s">
        <v>185</v>
      </c>
      <c r="E80" t="s">
        <v>267</v>
      </c>
    </row>
    <row r="81" spans="1:5">
      <c r="A81" t="s">
        <v>287</v>
      </c>
      <c r="B81" t="s">
        <v>302</v>
      </c>
      <c r="C81" t="s">
        <v>233</v>
      </c>
      <c r="D81" t="s">
        <v>280</v>
      </c>
      <c r="E81" t="s">
        <v>270</v>
      </c>
    </row>
    <row r="82" spans="1:5">
      <c r="A82" t="s">
        <v>287</v>
      </c>
      <c r="B82" t="s">
        <v>302</v>
      </c>
      <c r="C82" t="s">
        <v>233</v>
      </c>
      <c r="D82" t="s">
        <v>279</v>
      </c>
      <c r="E82" t="s">
        <v>271</v>
      </c>
    </row>
    <row r="83" spans="1:5">
      <c r="A83" t="s">
        <v>287</v>
      </c>
      <c r="B83" t="s">
        <v>302</v>
      </c>
      <c r="C83" t="s">
        <v>233</v>
      </c>
      <c r="D83" t="s">
        <v>278</v>
      </c>
      <c r="E83" t="s">
        <v>271</v>
      </c>
    </row>
    <row r="84" spans="1:5">
      <c r="A84" t="s">
        <v>287</v>
      </c>
      <c r="B84" t="s">
        <v>302</v>
      </c>
      <c r="C84" t="s">
        <v>233</v>
      </c>
      <c r="D84" t="s">
        <v>268</v>
      </c>
      <c r="E84" t="s">
        <v>271</v>
      </c>
    </row>
    <row r="85" spans="1:5">
      <c r="A85" t="s">
        <v>287</v>
      </c>
      <c r="B85" t="s">
        <v>302</v>
      </c>
      <c r="C85" t="s">
        <v>233</v>
      </c>
      <c r="D85" t="s">
        <v>269</v>
      </c>
      <c r="E85" t="s">
        <v>271</v>
      </c>
    </row>
    <row r="86" spans="1:5">
      <c r="A86" t="s">
        <v>287</v>
      </c>
      <c r="B86" t="s">
        <v>302</v>
      </c>
      <c r="C86" t="s">
        <v>262</v>
      </c>
      <c r="D86" t="s">
        <v>185</v>
      </c>
      <c r="E86" t="s">
        <v>267</v>
      </c>
    </row>
    <row r="87" spans="1:5">
      <c r="A87" t="s">
        <v>287</v>
      </c>
      <c r="B87" t="s">
        <v>302</v>
      </c>
      <c r="C87" t="s">
        <v>262</v>
      </c>
      <c r="D87" t="s">
        <v>280</v>
      </c>
      <c r="E87" t="s">
        <v>270</v>
      </c>
    </row>
    <row r="88" spans="1:5">
      <c r="A88" t="s">
        <v>287</v>
      </c>
      <c r="B88" t="s">
        <v>302</v>
      </c>
      <c r="C88" t="s">
        <v>262</v>
      </c>
      <c r="D88" t="s">
        <v>279</v>
      </c>
      <c r="E88" t="s">
        <v>271</v>
      </c>
    </row>
    <row r="89" spans="1:5">
      <c r="A89" t="s">
        <v>287</v>
      </c>
      <c r="B89" t="s">
        <v>302</v>
      </c>
      <c r="C89" t="s">
        <v>262</v>
      </c>
      <c r="D89" t="s">
        <v>278</v>
      </c>
      <c r="E89" t="s">
        <v>271</v>
      </c>
    </row>
    <row r="90" spans="1:5">
      <c r="A90" t="s">
        <v>287</v>
      </c>
      <c r="B90" t="s">
        <v>302</v>
      </c>
      <c r="C90" t="s">
        <v>262</v>
      </c>
      <c r="D90" t="s">
        <v>268</v>
      </c>
      <c r="E90" t="s">
        <v>270</v>
      </c>
    </row>
    <row r="91" spans="1:5">
      <c r="A91" t="s">
        <v>287</v>
      </c>
      <c r="B91" t="s">
        <v>302</v>
      </c>
      <c r="C91" t="s">
        <v>262</v>
      </c>
      <c r="D91" t="s">
        <v>269</v>
      </c>
      <c r="E91" t="s">
        <v>267</v>
      </c>
    </row>
    <row r="92" spans="1:5">
      <c r="A92" t="s">
        <v>287</v>
      </c>
      <c r="B92" t="s">
        <v>303</v>
      </c>
      <c r="C92" t="s">
        <v>236</v>
      </c>
      <c r="D92" t="s">
        <v>185</v>
      </c>
      <c r="E92" t="s">
        <v>271</v>
      </c>
    </row>
    <row r="93" spans="1:5">
      <c r="A93" t="s">
        <v>287</v>
      </c>
      <c r="B93" t="s">
        <v>303</v>
      </c>
      <c r="C93" t="s">
        <v>236</v>
      </c>
      <c r="D93" t="s">
        <v>280</v>
      </c>
      <c r="E93" t="s">
        <v>270</v>
      </c>
    </row>
    <row r="94" spans="1:5">
      <c r="A94" t="s">
        <v>287</v>
      </c>
      <c r="B94" t="s">
        <v>303</v>
      </c>
      <c r="C94" t="s">
        <v>236</v>
      </c>
      <c r="D94" t="s">
        <v>279</v>
      </c>
      <c r="E94" t="s">
        <v>270</v>
      </c>
    </row>
    <row r="95" spans="1:5">
      <c r="A95" t="s">
        <v>287</v>
      </c>
      <c r="B95" t="s">
        <v>303</v>
      </c>
      <c r="C95" t="s">
        <v>236</v>
      </c>
      <c r="D95" t="s">
        <v>278</v>
      </c>
      <c r="E95" t="s">
        <v>267</v>
      </c>
    </row>
    <row r="96" spans="1:5">
      <c r="A96" t="s">
        <v>287</v>
      </c>
      <c r="B96" t="s">
        <v>303</v>
      </c>
      <c r="C96" t="s">
        <v>236</v>
      </c>
      <c r="D96" t="s">
        <v>268</v>
      </c>
      <c r="E96" t="s">
        <v>267</v>
      </c>
    </row>
    <row r="97" spans="1:5">
      <c r="A97" t="s">
        <v>287</v>
      </c>
      <c r="B97" t="s">
        <v>303</v>
      </c>
      <c r="C97" t="s">
        <v>236</v>
      </c>
      <c r="D97" t="s">
        <v>269</v>
      </c>
      <c r="E97" t="s">
        <v>267</v>
      </c>
    </row>
    <row r="98" spans="1:5">
      <c r="A98" t="s">
        <v>287</v>
      </c>
      <c r="B98" t="s">
        <v>303</v>
      </c>
      <c r="C98" t="s">
        <v>260</v>
      </c>
      <c r="D98" t="s">
        <v>185</v>
      </c>
      <c r="E98" t="s">
        <v>267</v>
      </c>
    </row>
    <row r="99" spans="1:5">
      <c r="A99" t="s">
        <v>287</v>
      </c>
      <c r="B99" t="s">
        <v>303</v>
      </c>
      <c r="C99" t="s">
        <v>260</v>
      </c>
      <c r="D99" t="s">
        <v>280</v>
      </c>
      <c r="E99" t="s">
        <v>270</v>
      </c>
    </row>
    <row r="100" spans="1:5">
      <c r="A100" t="s">
        <v>287</v>
      </c>
      <c r="B100" t="s">
        <v>303</v>
      </c>
      <c r="C100" t="s">
        <v>260</v>
      </c>
      <c r="D100" t="s">
        <v>279</v>
      </c>
      <c r="E100" t="s">
        <v>267</v>
      </c>
    </row>
    <row r="101" spans="1:5">
      <c r="A101" t="s">
        <v>287</v>
      </c>
      <c r="B101" t="s">
        <v>303</v>
      </c>
      <c r="C101" t="s">
        <v>260</v>
      </c>
      <c r="D101" t="s">
        <v>278</v>
      </c>
      <c r="E101" t="s">
        <v>267</v>
      </c>
    </row>
    <row r="102" spans="1:5">
      <c r="A102" t="s">
        <v>287</v>
      </c>
      <c r="B102" t="s">
        <v>303</v>
      </c>
      <c r="C102" t="s">
        <v>260</v>
      </c>
      <c r="D102" t="s">
        <v>268</v>
      </c>
      <c r="E102" t="s">
        <v>270</v>
      </c>
    </row>
    <row r="103" spans="1:5">
      <c r="A103" t="s">
        <v>287</v>
      </c>
      <c r="B103" t="s">
        <v>303</v>
      </c>
      <c r="C103" t="s">
        <v>260</v>
      </c>
      <c r="D103" t="s">
        <v>269</v>
      </c>
      <c r="E103" t="s">
        <v>270</v>
      </c>
    </row>
    <row r="104" spans="1:5">
      <c r="A104" t="s">
        <v>287</v>
      </c>
      <c r="B104" t="s">
        <v>303</v>
      </c>
      <c r="C104" t="s">
        <v>289</v>
      </c>
      <c r="D104" t="s">
        <v>185</v>
      </c>
      <c r="E104" t="s">
        <v>267</v>
      </c>
    </row>
    <row r="105" spans="1:5">
      <c r="A105" t="s">
        <v>287</v>
      </c>
      <c r="B105" t="s">
        <v>303</v>
      </c>
      <c r="C105" t="s">
        <v>289</v>
      </c>
      <c r="D105" t="s">
        <v>280</v>
      </c>
      <c r="E105" t="s">
        <v>270</v>
      </c>
    </row>
    <row r="106" spans="1:5">
      <c r="A106" t="s">
        <v>287</v>
      </c>
      <c r="B106" t="s">
        <v>303</v>
      </c>
      <c r="C106" t="s">
        <v>289</v>
      </c>
      <c r="D106" t="s">
        <v>279</v>
      </c>
      <c r="E106" t="s">
        <v>267</v>
      </c>
    </row>
    <row r="107" spans="1:5">
      <c r="A107" t="s">
        <v>287</v>
      </c>
      <c r="B107" t="s">
        <v>303</v>
      </c>
      <c r="C107" t="s">
        <v>289</v>
      </c>
      <c r="D107" t="s">
        <v>278</v>
      </c>
      <c r="E107" t="s">
        <v>267</v>
      </c>
    </row>
    <row r="108" spans="1:5">
      <c r="A108" t="s">
        <v>287</v>
      </c>
      <c r="B108" t="s">
        <v>303</v>
      </c>
      <c r="C108" t="s">
        <v>289</v>
      </c>
      <c r="D108" t="s">
        <v>268</v>
      </c>
      <c r="E108" t="s">
        <v>270</v>
      </c>
    </row>
    <row r="109" spans="1:5">
      <c r="A109" t="s">
        <v>287</v>
      </c>
      <c r="B109" t="s">
        <v>303</v>
      </c>
      <c r="C109" t="s">
        <v>289</v>
      </c>
      <c r="D109" t="s">
        <v>269</v>
      </c>
      <c r="E109" t="s">
        <v>270</v>
      </c>
    </row>
    <row r="110" spans="1:5">
      <c r="A110" t="s">
        <v>287</v>
      </c>
      <c r="B110" t="s">
        <v>304</v>
      </c>
      <c r="C110" t="s">
        <v>290</v>
      </c>
      <c r="D110" t="s">
        <v>185</v>
      </c>
      <c r="E110" t="s">
        <v>267</v>
      </c>
    </row>
    <row r="111" spans="1:5">
      <c r="A111" t="s">
        <v>287</v>
      </c>
      <c r="B111" t="s">
        <v>304</v>
      </c>
      <c r="C111" t="s">
        <v>290</v>
      </c>
      <c r="D111" t="s">
        <v>280</v>
      </c>
      <c r="E111" t="s">
        <v>270</v>
      </c>
    </row>
    <row r="112" spans="1:5">
      <c r="A112" t="s">
        <v>287</v>
      </c>
      <c r="B112" t="s">
        <v>304</v>
      </c>
      <c r="C112" t="s">
        <v>290</v>
      </c>
      <c r="D112" t="s">
        <v>279</v>
      </c>
      <c r="E112" t="s">
        <v>267</v>
      </c>
    </row>
    <row r="113" spans="1:5">
      <c r="A113" t="s">
        <v>287</v>
      </c>
      <c r="B113" t="s">
        <v>304</v>
      </c>
      <c r="C113" t="s">
        <v>290</v>
      </c>
      <c r="D113" t="s">
        <v>278</v>
      </c>
      <c r="E113" t="s">
        <v>267</v>
      </c>
    </row>
    <row r="114" spans="1:5">
      <c r="A114" t="s">
        <v>287</v>
      </c>
      <c r="B114" t="s">
        <v>304</v>
      </c>
      <c r="C114" t="s">
        <v>290</v>
      </c>
      <c r="D114" t="s">
        <v>268</v>
      </c>
      <c r="E114" t="s">
        <v>271</v>
      </c>
    </row>
    <row r="115" spans="1:5">
      <c r="A115" t="s">
        <v>287</v>
      </c>
      <c r="B115" t="s">
        <v>304</v>
      </c>
      <c r="C115" t="s">
        <v>290</v>
      </c>
      <c r="D115" t="s">
        <v>269</v>
      </c>
      <c r="E115" t="s">
        <v>270</v>
      </c>
    </row>
    <row r="116" spans="1:5">
      <c r="A116" t="s">
        <v>288</v>
      </c>
      <c r="B116" t="s">
        <v>302</v>
      </c>
      <c r="C116" t="s">
        <v>291</v>
      </c>
      <c r="D116" t="s">
        <v>185</v>
      </c>
      <c r="E116" t="s">
        <v>267</v>
      </c>
    </row>
    <row r="117" spans="1:5">
      <c r="A117" t="s">
        <v>288</v>
      </c>
      <c r="B117" t="s">
        <v>302</v>
      </c>
      <c r="C117" t="s">
        <v>291</v>
      </c>
      <c r="D117" t="s">
        <v>280</v>
      </c>
      <c r="E117" t="s">
        <v>267</v>
      </c>
    </row>
    <row r="118" spans="1:5">
      <c r="A118" t="s">
        <v>288</v>
      </c>
      <c r="B118" t="s">
        <v>302</v>
      </c>
      <c r="C118" t="s">
        <v>291</v>
      </c>
      <c r="D118" t="s">
        <v>279</v>
      </c>
      <c r="E118" t="s">
        <v>267</v>
      </c>
    </row>
    <row r="119" spans="1:5">
      <c r="A119" t="s">
        <v>288</v>
      </c>
      <c r="B119" t="s">
        <v>302</v>
      </c>
      <c r="C119" t="s">
        <v>291</v>
      </c>
      <c r="D119" t="s">
        <v>278</v>
      </c>
      <c r="E119" t="s">
        <v>267</v>
      </c>
    </row>
    <row r="120" spans="1:5">
      <c r="A120" t="s">
        <v>288</v>
      </c>
      <c r="B120" t="s">
        <v>302</v>
      </c>
      <c r="C120" t="s">
        <v>291</v>
      </c>
      <c r="D120" t="s">
        <v>268</v>
      </c>
      <c r="E120" t="s">
        <v>267</v>
      </c>
    </row>
    <row r="121" spans="1:5">
      <c r="A121" t="s">
        <v>288</v>
      </c>
      <c r="B121" t="s">
        <v>302</v>
      </c>
      <c r="C121" t="s">
        <v>291</v>
      </c>
      <c r="D121" t="s">
        <v>269</v>
      </c>
      <c r="E121" t="s">
        <v>267</v>
      </c>
    </row>
    <row r="122" spans="1:5">
      <c r="A122" t="s">
        <v>288</v>
      </c>
      <c r="B122" t="s">
        <v>303</v>
      </c>
      <c r="C122" t="s">
        <v>265</v>
      </c>
      <c r="D122" t="s">
        <v>185</v>
      </c>
      <c r="E122" t="s">
        <v>270</v>
      </c>
    </row>
    <row r="123" spans="1:5">
      <c r="A123" t="s">
        <v>288</v>
      </c>
      <c r="B123" t="s">
        <v>303</v>
      </c>
      <c r="C123" t="s">
        <v>265</v>
      </c>
      <c r="D123" t="s">
        <v>280</v>
      </c>
      <c r="E123" t="s">
        <v>270</v>
      </c>
    </row>
    <row r="124" spans="1:5">
      <c r="A124" t="s">
        <v>288</v>
      </c>
      <c r="B124" t="s">
        <v>303</v>
      </c>
      <c r="C124" t="s">
        <v>265</v>
      </c>
      <c r="D124" t="s">
        <v>279</v>
      </c>
      <c r="E124" t="s">
        <v>270</v>
      </c>
    </row>
    <row r="125" spans="1:5">
      <c r="A125" t="s">
        <v>288</v>
      </c>
      <c r="B125" t="s">
        <v>303</v>
      </c>
      <c r="C125" t="s">
        <v>265</v>
      </c>
      <c r="D125" t="s">
        <v>278</v>
      </c>
      <c r="E125" t="s">
        <v>267</v>
      </c>
    </row>
    <row r="126" spans="1:5">
      <c r="A126" t="s">
        <v>288</v>
      </c>
      <c r="B126" t="s">
        <v>303</v>
      </c>
      <c r="C126" t="s">
        <v>265</v>
      </c>
      <c r="D126" t="s">
        <v>268</v>
      </c>
      <c r="E126" t="s">
        <v>267</v>
      </c>
    </row>
    <row r="127" spans="1:5">
      <c r="A127" t="s">
        <v>288</v>
      </c>
      <c r="B127" t="s">
        <v>303</v>
      </c>
      <c r="C127" t="s">
        <v>265</v>
      </c>
      <c r="D127" t="s">
        <v>269</v>
      </c>
      <c r="E127" t="s">
        <v>271</v>
      </c>
    </row>
    <row r="128" spans="1:5">
      <c r="A128" t="s">
        <v>288</v>
      </c>
      <c r="B128" t="s">
        <v>304</v>
      </c>
      <c r="C128" t="s">
        <v>264</v>
      </c>
      <c r="D128" t="s">
        <v>185</v>
      </c>
      <c r="E128" t="s">
        <v>270</v>
      </c>
    </row>
    <row r="129" spans="1:5">
      <c r="A129" t="s">
        <v>288</v>
      </c>
      <c r="B129" t="s">
        <v>304</v>
      </c>
      <c r="C129" t="s">
        <v>264</v>
      </c>
      <c r="D129" t="s">
        <v>280</v>
      </c>
      <c r="E129" t="s">
        <v>270</v>
      </c>
    </row>
    <row r="130" spans="1:5">
      <c r="A130" t="s">
        <v>288</v>
      </c>
      <c r="B130" t="s">
        <v>304</v>
      </c>
      <c r="C130" t="s">
        <v>264</v>
      </c>
      <c r="D130" t="s">
        <v>279</v>
      </c>
      <c r="E130" t="s">
        <v>270</v>
      </c>
    </row>
    <row r="131" spans="1:5">
      <c r="A131" t="s">
        <v>288</v>
      </c>
      <c r="B131" t="s">
        <v>304</v>
      </c>
      <c r="C131" t="s">
        <v>264</v>
      </c>
      <c r="D131" t="s">
        <v>278</v>
      </c>
      <c r="E131" t="s">
        <v>267</v>
      </c>
    </row>
    <row r="132" spans="1:5">
      <c r="A132" t="s">
        <v>288</v>
      </c>
      <c r="B132" t="s">
        <v>304</v>
      </c>
      <c r="C132" t="s">
        <v>264</v>
      </c>
      <c r="D132" t="s">
        <v>268</v>
      </c>
      <c r="E132" t="s">
        <v>270</v>
      </c>
    </row>
    <row r="133" spans="1:5">
      <c r="A133" t="s">
        <v>288</v>
      </c>
      <c r="B133" t="s">
        <v>304</v>
      </c>
      <c r="C133" t="s">
        <v>264</v>
      </c>
      <c r="D133" t="s">
        <v>269</v>
      </c>
      <c r="E133" t="s">
        <v>270</v>
      </c>
    </row>
    <row r="134" spans="1:5">
      <c r="A134" t="s">
        <v>263</v>
      </c>
      <c r="B134" t="s">
        <v>303</v>
      </c>
      <c r="C134" t="s">
        <v>263</v>
      </c>
      <c r="D134" t="s">
        <v>185</v>
      </c>
      <c r="E134" t="s">
        <v>270</v>
      </c>
    </row>
    <row r="135" spans="1:5">
      <c r="A135" t="s">
        <v>263</v>
      </c>
      <c r="B135" t="s">
        <v>303</v>
      </c>
      <c r="C135" t="s">
        <v>263</v>
      </c>
      <c r="D135" t="s">
        <v>280</v>
      </c>
      <c r="E135" t="s">
        <v>270</v>
      </c>
    </row>
    <row r="136" spans="1:5">
      <c r="A136" t="s">
        <v>263</v>
      </c>
      <c r="B136" t="s">
        <v>303</v>
      </c>
      <c r="C136" t="s">
        <v>263</v>
      </c>
      <c r="D136" t="s">
        <v>279</v>
      </c>
      <c r="E136" t="s">
        <v>270</v>
      </c>
    </row>
    <row r="137" spans="1:5">
      <c r="A137" t="s">
        <v>263</v>
      </c>
      <c r="B137" t="s">
        <v>303</v>
      </c>
      <c r="C137" t="s">
        <v>263</v>
      </c>
      <c r="D137" t="s">
        <v>278</v>
      </c>
      <c r="E137" t="s">
        <v>267</v>
      </c>
    </row>
    <row r="138" spans="1:5">
      <c r="A138" t="s">
        <v>263</v>
      </c>
      <c r="B138" t="s">
        <v>303</v>
      </c>
      <c r="C138" t="s">
        <v>263</v>
      </c>
      <c r="D138" t="s">
        <v>268</v>
      </c>
      <c r="E138" t="s">
        <v>270</v>
      </c>
    </row>
    <row r="139" spans="1:5">
      <c r="A139" t="s">
        <v>263</v>
      </c>
      <c r="B139" t="s">
        <v>303</v>
      </c>
      <c r="C139" t="s">
        <v>263</v>
      </c>
      <c r="D139" t="s">
        <v>269</v>
      </c>
      <c r="E139" t="s">
        <v>270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0CFE8-F570-49B0-8B89-766A22E975A9}">
  <dimension ref="A1:C87"/>
  <sheetViews>
    <sheetView tabSelected="1" topLeftCell="A5" workbookViewId="0">
      <selection activeCell="B77" sqref="B77"/>
    </sheetView>
  </sheetViews>
  <sheetFormatPr defaultRowHeight="15.6"/>
  <cols>
    <col min="1" max="1" width="30.5" customWidth="1"/>
    <col min="2" max="2" width="39.59765625" customWidth="1"/>
    <col min="3" max="3" width="27.5" customWidth="1"/>
  </cols>
  <sheetData>
    <row r="1" spans="1:3">
      <c r="A1" s="31" t="s">
        <v>305</v>
      </c>
    </row>
    <row r="3" spans="1:3" s="21" customFormat="1">
      <c r="A3" s="21" t="s">
        <v>306</v>
      </c>
      <c r="B3" s="21" t="s">
        <v>189</v>
      </c>
    </row>
    <row r="4" spans="1:3" ht="66" customHeight="1">
      <c r="A4" t="s">
        <v>307</v>
      </c>
      <c r="B4" s="8" t="s">
        <v>310</v>
      </c>
    </row>
    <row r="5" spans="1:3" ht="46.8">
      <c r="A5" t="s">
        <v>190</v>
      </c>
      <c r="B5" s="8" t="s">
        <v>311</v>
      </c>
    </row>
    <row r="6" spans="1:3" ht="62.4">
      <c r="A6" t="s">
        <v>308</v>
      </c>
      <c r="B6" s="8" t="s">
        <v>312</v>
      </c>
    </row>
    <row r="7" spans="1:3" ht="62.4">
      <c r="A7" t="s">
        <v>309</v>
      </c>
      <c r="B7" s="8" t="s">
        <v>313</v>
      </c>
    </row>
    <row r="10" spans="1:3" ht="51.6" customHeight="1">
      <c r="A10" s="30" t="s">
        <v>314</v>
      </c>
    </row>
    <row r="12" spans="1:3" s="21" customFormat="1">
      <c r="A12" s="21" t="s">
        <v>188</v>
      </c>
      <c r="B12" s="21" t="s">
        <v>189</v>
      </c>
      <c r="C12" s="21" t="s">
        <v>318</v>
      </c>
    </row>
    <row r="13" spans="1:3" ht="65.400000000000006" customHeight="1">
      <c r="A13" t="s">
        <v>315</v>
      </c>
      <c r="B13" s="8" t="s">
        <v>317</v>
      </c>
      <c r="C13" s="8" t="s">
        <v>319</v>
      </c>
    </row>
    <row r="14" spans="1:3" ht="77.400000000000006" customHeight="1">
      <c r="A14" t="s">
        <v>316</v>
      </c>
      <c r="B14" s="8" t="s">
        <v>320</v>
      </c>
      <c r="C14" s="8" t="s">
        <v>321</v>
      </c>
    </row>
    <row r="17" spans="1:2" ht="31.2">
      <c r="A17" s="30" t="s">
        <v>322</v>
      </c>
    </row>
    <row r="19" spans="1:2" s="21" customFormat="1">
      <c r="A19" s="21" t="s">
        <v>323</v>
      </c>
      <c r="B19" s="21" t="s">
        <v>189</v>
      </c>
    </row>
    <row r="20" spans="1:2" ht="31.2">
      <c r="A20" t="s">
        <v>211</v>
      </c>
      <c r="B20" s="8" t="s">
        <v>325</v>
      </c>
    </row>
    <row r="21" spans="1:2" ht="31.2">
      <c r="A21" t="s">
        <v>20</v>
      </c>
      <c r="B21" s="8" t="s">
        <v>326</v>
      </c>
    </row>
    <row r="22" spans="1:2" ht="46.8">
      <c r="A22" t="s">
        <v>33</v>
      </c>
      <c r="B22" s="8" t="s">
        <v>327</v>
      </c>
    </row>
    <row r="23" spans="1:2" ht="46.8">
      <c r="A23" t="s">
        <v>54</v>
      </c>
      <c r="B23" s="8" t="s">
        <v>328</v>
      </c>
    </row>
    <row r="24" spans="1:2" ht="78">
      <c r="A24" t="s">
        <v>324</v>
      </c>
      <c r="B24" s="8" t="s">
        <v>329</v>
      </c>
    </row>
    <row r="27" spans="1:2" ht="31.2">
      <c r="A27" s="30" t="s">
        <v>330</v>
      </c>
    </row>
    <row r="29" spans="1:2" s="21" customFormat="1">
      <c r="A29" s="21" t="s">
        <v>306</v>
      </c>
      <c r="B29" s="21" t="s">
        <v>189</v>
      </c>
    </row>
    <row r="30" spans="1:2" ht="46.8">
      <c r="A30" t="s">
        <v>267</v>
      </c>
      <c r="B30" s="8" t="s">
        <v>331</v>
      </c>
    </row>
    <row r="31" spans="1:2" ht="31.2">
      <c r="A31" t="s">
        <v>270</v>
      </c>
      <c r="B31" s="8" t="s">
        <v>332</v>
      </c>
    </row>
    <row r="32" spans="1:2" ht="62.4">
      <c r="A32" t="s">
        <v>271</v>
      </c>
      <c r="B32" s="8" t="s">
        <v>333</v>
      </c>
    </row>
    <row r="33" spans="1:2" ht="46.8">
      <c r="A33" t="s">
        <v>277</v>
      </c>
      <c r="B33" s="8" t="s">
        <v>334</v>
      </c>
    </row>
    <row r="34" spans="1:2" ht="46.8">
      <c r="A34" t="s">
        <v>280</v>
      </c>
      <c r="B34" s="8" t="s">
        <v>335</v>
      </c>
    </row>
    <row r="35" spans="1:2" ht="46.8">
      <c r="A35" t="s">
        <v>279</v>
      </c>
      <c r="B35" s="8" t="s">
        <v>369</v>
      </c>
    </row>
    <row r="36" spans="1:2" ht="62.4">
      <c r="A36" t="s">
        <v>278</v>
      </c>
      <c r="B36" s="8" t="s">
        <v>336</v>
      </c>
    </row>
    <row r="37" spans="1:2" ht="31.2">
      <c r="A37" t="s">
        <v>268</v>
      </c>
      <c r="B37" s="8" t="s">
        <v>337</v>
      </c>
    </row>
    <row r="38" spans="1:2" ht="46.8">
      <c r="A38" t="s">
        <v>269</v>
      </c>
      <c r="B38" s="8" t="s">
        <v>338</v>
      </c>
    </row>
    <row r="41" spans="1:2" ht="31.2">
      <c r="A41" s="30" t="s">
        <v>339</v>
      </c>
    </row>
    <row r="43" spans="1:2" s="21" customFormat="1">
      <c r="A43" s="21" t="s">
        <v>296</v>
      </c>
      <c r="B43" s="21" t="s">
        <v>189</v>
      </c>
    </row>
    <row r="44" spans="1:2" ht="62.4">
      <c r="A44" t="s">
        <v>302</v>
      </c>
      <c r="B44" s="8" t="s">
        <v>340</v>
      </c>
    </row>
    <row r="45" spans="1:2" ht="78">
      <c r="A45" t="s">
        <v>303</v>
      </c>
      <c r="B45" s="8" t="s">
        <v>341</v>
      </c>
    </row>
    <row r="46" spans="1:2" ht="62.4">
      <c r="A46" t="s">
        <v>304</v>
      </c>
      <c r="B46" s="8" t="s">
        <v>342</v>
      </c>
    </row>
    <row r="49" spans="1:2" ht="31.2">
      <c r="A49" s="30" t="s">
        <v>343</v>
      </c>
    </row>
    <row r="51" spans="1:2" s="21" customFormat="1">
      <c r="A51" s="21" t="s">
        <v>306</v>
      </c>
      <c r="B51" s="21" t="s">
        <v>189</v>
      </c>
    </row>
    <row r="52" spans="1:2" ht="78">
      <c r="A52" t="s">
        <v>258</v>
      </c>
      <c r="B52" s="8" t="s">
        <v>347</v>
      </c>
    </row>
    <row r="53" spans="1:2" ht="31.2">
      <c r="A53" t="s">
        <v>230</v>
      </c>
      <c r="B53" s="8" t="s">
        <v>348</v>
      </c>
    </row>
    <row r="54" spans="1:2" ht="62.4">
      <c r="A54" t="s">
        <v>231</v>
      </c>
      <c r="B54" s="8" t="s">
        <v>349</v>
      </c>
    </row>
    <row r="55" spans="1:2" ht="46.8">
      <c r="A55" t="s">
        <v>232</v>
      </c>
      <c r="B55" s="8" t="s">
        <v>350</v>
      </c>
    </row>
    <row r="56" spans="1:2" ht="124.8">
      <c r="A56" t="s">
        <v>223</v>
      </c>
      <c r="B56" s="8" t="s">
        <v>351</v>
      </c>
    </row>
    <row r="57" spans="1:2" ht="62.4">
      <c r="A57" t="s">
        <v>344</v>
      </c>
      <c r="B57" s="8" t="s">
        <v>422</v>
      </c>
    </row>
    <row r="58" spans="1:2" ht="62.4">
      <c r="A58" t="s">
        <v>345</v>
      </c>
      <c r="B58" s="8" t="s">
        <v>352</v>
      </c>
    </row>
    <row r="59" spans="1:2" ht="46.8">
      <c r="A59" t="s">
        <v>346</v>
      </c>
      <c r="B59" s="8" t="s">
        <v>353</v>
      </c>
    </row>
    <row r="62" spans="1:2">
      <c r="A62" s="30" t="s">
        <v>354</v>
      </c>
    </row>
    <row r="64" spans="1:2" s="21" customFormat="1">
      <c r="A64" s="21" t="s">
        <v>355</v>
      </c>
      <c r="B64" s="21" t="s">
        <v>356</v>
      </c>
    </row>
    <row r="65" spans="1:2" ht="46.8">
      <c r="A65" t="s">
        <v>357</v>
      </c>
      <c r="B65" s="8" t="s">
        <v>363</v>
      </c>
    </row>
    <row r="66" spans="1:2" ht="62.4">
      <c r="A66" t="s">
        <v>358</v>
      </c>
      <c r="B66" s="8" t="s">
        <v>364</v>
      </c>
    </row>
    <row r="67" spans="1:2" ht="62.4">
      <c r="A67" t="s">
        <v>359</v>
      </c>
      <c r="B67" s="8" t="s">
        <v>365</v>
      </c>
    </row>
    <row r="68" spans="1:2" ht="93.6">
      <c r="A68" t="s">
        <v>360</v>
      </c>
      <c r="B68" s="8" t="s">
        <v>366</v>
      </c>
    </row>
    <row r="69" spans="1:2" ht="93.6">
      <c r="A69" t="s">
        <v>361</v>
      </c>
      <c r="B69" s="8" t="s">
        <v>367</v>
      </c>
    </row>
    <row r="70" spans="1:2" ht="109.2">
      <c r="A70" t="s">
        <v>362</v>
      </c>
      <c r="B70" s="8" t="s">
        <v>368</v>
      </c>
    </row>
    <row r="73" spans="1:2">
      <c r="A73" s="30" t="s">
        <v>392</v>
      </c>
    </row>
    <row r="75" spans="1:2" s="21" customFormat="1">
      <c r="A75" s="21" t="s">
        <v>306</v>
      </c>
      <c r="B75" s="21" t="s">
        <v>189</v>
      </c>
    </row>
    <row r="76" spans="1:2" ht="62.4">
      <c r="A76" t="s">
        <v>393</v>
      </c>
      <c r="B76" s="8" t="s">
        <v>402</v>
      </c>
    </row>
    <row r="77" spans="1:2" ht="112.8" customHeight="1">
      <c r="A77" t="s">
        <v>394</v>
      </c>
      <c r="B77" s="8" t="s">
        <v>403</v>
      </c>
    </row>
    <row r="80" spans="1:2">
      <c r="A80" s="30" t="s">
        <v>395</v>
      </c>
    </row>
    <row r="82" spans="1:2" s="21" customFormat="1">
      <c r="A82" s="21" t="s">
        <v>396</v>
      </c>
      <c r="B82" s="21" t="s">
        <v>397</v>
      </c>
    </row>
    <row r="83" spans="1:2" ht="62.4">
      <c r="A83" t="s">
        <v>398</v>
      </c>
      <c r="B83" s="8" t="s">
        <v>404</v>
      </c>
    </row>
    <row r="84" spans="1:2" ht="62.4">
      <c r="A84" t="s">
        <v>399</v>
      </c>
      <c r="B84" s="8" t="s">
        <v>405</v>
      </c>
    </row>
    <row r="85" spans="1:2" ht="46.8">
      <c r="A85" t="s">
        <v>400</v>
      </c>
      <c r="B85" s="8" t="s">
        <v>406</v>
      </c>
    </row>
    <row r="86" spans="1:2" ht="62.4">
      <c r="A86" t="s">
        <v>401</v>
      </c>
      <c r="B86" s="8" t="s">
        <v>407</v>
      </c>
    </row>
    <row r="87" spans="1:2" ht="62.4">
      <c r="A87" t="s">
        <v>409</v>
      </c>
      <c r="B87" s="8" t="s">
        <v>408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10</vt:i4>
      </vt:variant>
    </vt:vector>
  </HeadingPairs>
  <TitlesOfParts>
    <vt:vector size="10" baseType="lpstr">
      <vt:lpstr>Original Sheet</vt:lpstr>
      <vt:lpstr>DLC Master Log</vt:lpstr>
      <vt:lpstr>Fan Requests</vt:lpstr>
      <vt:lpstr>Feature &amp; Cost Comparison</vt:lpstr>
      <vt:lpstr>Content Strategy Analysis</vt:lpstr>
      <vt:lpstr>Retail Value Summary</vt:lpstr>
      <vt:lpstr>Pivot Tables Pack Type Analysis</vt:lpstr>
      <vt:lpstr>Cost Summary</vt:lpstr>
      <vt:lpstr>Feature Data</vt:lpstr>
      <vt:lpstr>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2026-04-20T22:27:22Z</dcterms:created>
  <dcterms:modified xsi:type="dcterms:W3CDTF">2026-04-20T22:30:26Z</dcterms:modified>
</cp:coreProperties>
</file>